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ryam_einian\OneDrive - TransCanada Corporation\Documents\General_Training_Papers_Books\PythonM\BK\MaryamGit\ml_training\Maryam\"/>
    </mc:Choice>
  </mc:AlternateContent>
  <xr:revisionPtr revIDLastSave="129" documentId="13_ncr:40009_{B7EB6A9D-8431-48D8-8D55-7D6175FD252E}" xr6:coauthVersionLast="36" xr6:coauthVersionMax="36" xr10:uidLastSave="{F36769D9-8770-46C4-9D45-3A3D70036972}"/>
  <bookViews>
    <workbookView xWindow="0" yWindow="0" windowWidth="28800" windowHeight="12225" activeTab="7" xr2:uid="{00000000-000D-0000-FFFF-FFFF00000000}"/>
  </bookViews>
  <sheets>
    <sheet name="RawData" sheetId="1" r:id="rId1"/>
    <sheet name="Age-BMI-BP" sheetId="3" r:id="rId2"/>
    <sheet name="Age" sheetId="6" r:id="rId3"/>
    <sheet name="BMI" sheetId="4" r:id="rId4"/>
    <sheet name="S3" sheetId="5" r:id="rId5"/>
    <sheet name="PT-Sex" sheetId="7" r:id="rId6"/>
    <sheet name="PT-Sex-BMI" sheetId="8" r:id="rId7"/>
    <sheet name="PT-Sex-Age" sheetId="2" r:id="rId8"/>
  </sheets>
  <calcPr calcId="191029"/>
  <pivotCaches>
    <pivotCache cacheId="1" r:id="rId9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6" i="1" l="1"/>
  <c r="N10" i="1" l="1"/>
  <c r="O9" i="1"/>
  <c r="P9" i="1"/>
  <c r="Q9" i="1"/>
  <c r="R9" i="1"/>
  <c r="S9" i="1"/>
  <c r="T9" i="1"/>
  <c r="U9" i="1"/>
  <c r="V9" i="1"/>
  <c r="W9" i="1"/>
  <c r="X9" i="1"/>
  <c r="N9" i="1"/>
  <c r="O8" i="1"/>
  <c r="P8" i="1"/>
  <c r="Q8" i="1"/>
  <c r="R8" i="1"/>
  <c r="S8" i="1"/>
  <c r="T8" i="1"/>
  <c r="U8" i="1"/>
  <c r="V8" i="1"/>
  <c r="W8" i="1"/>
  <c r="X8" i="1"/>
  <c r="N8" i="1"/>
  <c r="O7" i="1"/>
  <c r="P7" i="1"/>
  <c r="Q7" i="1"/>
  <c r="R7" i="1"/>
  <c r="S7" i="1"/>
  <c r="T7" i="1"/>
  <c r="U7" i="1"/>
  <c r="V7" i="1"/>
  <c r="W7" i="1"/>
  <c r="X7" i="1"/>
  <c r="N7" i="1"/>
  <c r="O6" i="1"/>
  <c r="P6" i="1"/>
  <c r="Q6" i="1"/>
  <c r="R6" i="1"/>
  <c r="S6" i="1"/>
  <c r="T6" i="1"/>
  <c r="U6" i="1"/>
  <c r="V6" i="1"/>
  <c r="W6" i="1"/>
  <c r="X6" i="1"/>
  <c r="O10" i="1"/>
  <c r="P10" i="1"/>
  <c r="Q10" i="1"/>
  <c r="R10" i="1"/>
  <c r="S10" i="1"/>
  <c r="T10" i="1"/>
  <c r="U10" i="1"/>
  <c r="V10" i="1"/>
  <c r="W10" i="1"/>
  <c r="X10" i="1"/>
</calcChain>
</file>

<file path=xl/sharedStrings.xml><?xml version="1.0" encoding="utf-8"?>
<sst xmlns="http://schemas.openxmlformats.org/spreadsheetml/2006/main" count="40" uniqueCount="21">
  <si>
    <t>AGE</t>
  </si>
  <si>
    <t>SEX</t>
  </si>
  <si>
    <t>BMI</t>
  </si>
  <si>
    <t>BP</t>
  </si>
  <si>
    <t>S1</t>
  </si>
  <si>
    <t>S2</t>
  </si>
  <si>
    <t>S3</t>
  </si>
  <si>
    <t>S4</t>
  </si>
  <si>
    <t>S5</t>
  </si>
  <si>
    <t>S6</t>
  </si>
  <si>
    <t>target</t>
  </si>
  <si>
    <t>Age</t>
  </si>
  <si>
    <t>correlation</t>
  </si>
  <si>
    <t>mean</t>
  </si>
  <si>
    <t>variance</t>
  </si>
  <si>
    <t>standard dev</t>
  </si>
  <si>
    <t>covariance</t>
  </si>
  <si>
    <t>Row Labels</t>
  </si>
  <si>
    <t>Grand Total</t>
  </si>
  <si>
    <t>Column Labels</t>
  </si>
  <si>
    <t>Sum of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</si>
</sst>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4" fontId="0" fillId="0" borderId="10" xfId="0" applyNumberFormat="1" applyBorder="1"/>
    <xf numFmtId="4" fontId="0" fillId="33" borderId="10" xfId="0" applyNumberFormat="1" applyFill="1" applyBorder="1"/>
    <xf numFmtId="4" fontId="14" fillId="0" borderId="10" xfId="0" applyNumberFormat="1" applyFont="1" applyBorder="1"/>
    <xf numFmtId="2" fontId="0" fillId="34" borderId="0" xfId="0" applyNumberFormat="1" applyFill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styles" Target="styles.xml"/><Relationship Id="rId5" Type="http://schemas.openxmlformats.org/officeDocument/2006/relationships/chartsheet" Target="chartsheets/sheet4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chartsheet" Target="chartsheets/sheet3.xml"/><Relationship Id="rId9" Type="http://schemas.openxmlformats.org/officeDocument/2006/relationships/pivotCacheDefinition" Target="pivotCache/pivotCacheDefinition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Age-BMI-BP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9"/>
          <c:order val="0"/>
          <c:tx>
            <c:strRef>
              <c:f>RawData!$A$1</c:f>
              <c:strCache>
                <c:ptCount val="1"/>
                <c:pt idx="0">
                  <c:v>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RawData!$A$2:$A$443</c:f>
              <c:numCache>
                <c:formatCode>General</c:formatCode>
                <c:ptCount val="442"/>
                <c:pt idx="0">
                  <c:v>59</c:v>
                </c:pt>
                <c:pt idx="1">
                  <c:v>48</c:v>
                </c:pt>
                <c:pt idx="2">
                  <c:v>72</c:v>
                </c:pt>
                <c:pt idx="3">
                  <c:v>24</c:v>
                </c:pt>
                <c:pt idx="4">
                  <c:v>50</c:v>
                </c:pt>
                <c:pt idx="5">
                  <c:v>23</c:v>
                </c:pt>
                <c:pt idx="6">
                  <c:v>36</c:v>
                </c:pt>
                <c:pt idx="7">
                  <c:v>66</c:v>
                </c:pt>
                <c:pt idx="8">
                  <c:v>60</c:v>
                </c:pt>
                <c:pt idx="9">
                  <c:v>29</c:v>
                </c:pt>
                <c:pt idx="10">
                  <c:v>22</c:v>
                </c:pt>
                <c:pt idx="11">
                  <c:v>56</c:v>
                </c:pt>
                <c:pt idx="12">
                  <c:v>53</c:v>
                </c:pt>
                <c:pt idx="13">
                  <c:v>50</c:v>
                </c:pt>
                <c:pt idx="14">
                  <c:v>61</c:v>
                </c:pt>
                <c:pt idx="15">
                  <c:v>34</c:v>
                </c:pt>
                <c:pt idx="16">
                  <c:v>47</c:v>
                </c:pt>
                <c:pt idx="17">
                  <c:v>68</c:v>
                </c:pt>
                <c:pt idx="18">
                  <c:v>38</c:v>
                </c:pt>
                <c:pt idx="19">
                  <c:v>41</c:v>
                </c:pt>
                <c:pt idx="20">
                  <c:v>35</c:v>
                </c:pt>
                <c:pt idx="21">
                  <c:v>25</c:v>
                </c:pt>
                <c:pt idx="22">
                  <c:v>25</c:v>
                </c:pt>
                <c:pt idx="23">
                  <c:v>61</c:v>
                </c:pt>
                <c:pt idx="24">
                  <c:v>31</c:v>
                </c:pt>
                <c:pt idx="25">
                  <c:v>30</c:v>
                </c:pt>
                <c:pt idx="26">
                  <c:v>19</c:v>
                </c:pt>
                <c:pt idx="27">
                  <c:v>42</c:v>
                </c:pt>
                <c:pt idx="28">
                  <c:v>63</c:v>
                </c:pt>
                <c:pt idx="29">
                  <c:v>67</c:v>
                </c:pt>
                <c:pt idx="30">
                  <c:v>32</c:v>
                </c:pt>
                <c:pt idx="31">
                  <c:v>42</c:v>
                </c:pt>
                <c:pt idx="32">
                  <c:v>58</c:v>
                </c:pt>
                <c:pt idx="33">
                  <c:v>57</c:v>
                </c:pt>
                <c:pt idx="34">
                  <c:v>53</c:v>
                </c:pt>
                <c:pt idx="35">
                  <c:v>62</c:v>
                </c:pt>
                <c:pt idx="36">
                  <c:v>52</c:v>
                </c:pt>
                <c:pt idx="37">
                  <c:v>46</c:v>
                </c:pt>
                <c:pt idx="38">
                  <c:v>48</c:v>
                </c:pt>
                <c:pt idx="39">
                  <c:v>48</c:v>
                </c:pt>
                <c:pt idx="40">
                  <c:v>50</c:v>
                </c:pt>
                <c:pt idx="41">
                  <c:v>21</c:v>
                </c:pt>
                <c:pt idx="42">
                  <c:v>32</c:v>
                </c:pt>
                <c:pt idx="43">
                  <c:v>54</c:v>
                </c:pt>
                <c:pt idx="44">
                  <c:v>61</c:v>
                </c:pt>
                <c:pt idx="45">
                  <c:v>56</c:v>
                </c:pt>
                <c:pt idx="46">
                  <c:v>33</c:v>
                </c:pt>
                <c:pt idx="47">
                  <c:v>27</c:v>
                </c:pt>
                <c:pt idx="48">
                  <c:v>67</c:v>
                </c:pt>
                <c:pt idx="49">
                  <c:v>37</c:v>
                </c:pt>
                <c:pt idx="50">
                  <c:v>58</c:v>
                </c:pt>
                <c:pt idx="51">
                  <c:v>65</c:v>
                </c:pt>
                <c:pt idx="52">
                  <c:v>34</c:v>
                </c:pt>
                <c:pt idx="53">
                  <c:v>46</c:v>
                </c:pt>
                <c:pt idx="54">
                  <c:v>35</c:v>
                </c:pt>
                <c:pt idx="55">
                  <c:v>37</c:v>
                </c:pt>
                <c:pt idx="56">
                  <c:v>37</c:v>
                </c:pt>
                <c:pt idx="57">
                  <c:v>41</c:v>
                </c:pt>
                <c:pt idx="58">
                  <c:v>60</c:v>
                </c:pt>
                <c:pt idx="59">
                  <c:v>66</c:v>
                </c:pt>
                <c:pt idx="60">
                  <c:v>29</c:v>
                </c:pt>
                <c:pt idx="61">
                  <c:v>37</c:v>
                </c:pt>
                <c:pt idx="62">
                  <c:v>41</c:v>
                </c:pt>
                <c:pt idx="63">
                  <c:v>39</c:v>
                </c:pt>
                <c:pt idx="64">
                  <c:v>67</c:v>
                </c:pt>
                <c:pt idx="65">
                  <c:v>36</c:v>
                </c:pt>
                <c:pt idx="66">
                  <c:v>46</c:v>
                </c:pt>
                <c:pt idx="67">
                  <c:v>60</c:v>
                </c:pt>
                <c:pt idx="68">
                  <c:v>59</c:v>
                </c:pt>
                <c:pt idx="69">
                  <c:v>53</c:v>
                </c:pt>
                <c:pt idx="70">
                  <c:v>48</c:v>
                </c:pt>
                <c:pt idx="71">
                  <c:v>48</c:v>
                </c:pt>
                <c:pt idx="72">
                  <c:v>66</c:v>
                </c:pt>
                <c:pt idx="73">
                  <c:v>52</c:v>
                </c:pt>
                <c:pt idx="74">
                  <c:v>52</c:v>
                </c:pt>
                <c:pt idx="75">
                  <c:v>46</c:v>
                </c:pt>
                <c:pt idx="76">
                  <c:v>40</c:v>
                </c:pt>
                <c:pt idx="77">
                  <c:v>22</c:v>
                </c:pt>
                <c:pt idx="78">
                  <c:v>50</c:v>
                </c:pt>
                <c:pt idx="79">
                  <c:v>20</c:v>
                </c:pt>
                <c:pt idx="80">
                  <c:v>68</c:v>
                </c:pt>
                <c:pt idx="81">
                  <c:v>52</c:v>
                </c:pt>
                <c:pt idx="82">
                  <c:v>44</c:v>
                </c:pt>
                <c:pt idx="83">
                  <c:v>38</c:v>
                </c:pt>
                <c:pt idx="84">
                  <c:v>49</c:v>
                </c:pt>
                <c:pt idx="85">
                  <c:v>61</c:v>
                </c:pt>
                <c:pt idx="86">
                  <c:v>29</c:v>
                </c:pt>
                <c:pt idx="87">
                  <c:v>61</c:v>
                </c:pt>
                <c:pt idx="88">
                  <c:v>34</c:v>
                </c:pt>
                <c:pt idx="89">
                  <c:v>36</c:v>
                </c:pt>
                <c:pt idx="90">
                  <c:v>52</c:v>
                </c:pt>
                <c:pt idx="91">
                  <c:v>61</c:v>
                </c:pt>
                <c:pt idx="92">
                  <c:v>43</c:v>
                </c:pt>
                <c:pt idx="93">
                  <c:v>35</c:v>
                </c:pt>
                <c:pt idx="94">
                  <c:v>27</c:v>
                </c:pt>
                <c:pt idx="95">
                  <c:v>29</c:v>
                </c:pt>
                <c:pt idx="96">
                  <c:v>64</c:v>
                </c:pt>
                <c:pt idx="97">
                  <c:v>41</c:v>
                </c:pt>
                <c:pt idx="98">
                  <c:v>49</c:v>
                </c:pt>
                <c:pt idx="99">
                  <c:v>48</c:v>
                </c:pt>
                <c:pt idx="100">
                  <c:v>53</c:v>
                </c:pt>
                <c:pt idx="101">
                  <c:v>53</c:v>
                </c:pt>
                <c:pt idx="102">
                  <c:v>23</c:v>
                </c:pt>
                <c:pt idx="103">
                  <c:v>65</c:v>
                </c:pt>
                <c:pt idx="104">
                  <c:v>41</c:v>
                </c:pt>
                <c:pt idx="105">
                  <c:v>55</c:v>
                </c:pt>
                <c:pt idx="106">
                  <c:v>22</c:v>
                </c:pt>
                <c:pt idx="107">
                  <c:v>56</c:v>
                </c:pt>
                <c:pt idx="108">
                  <c:v>54</c:v>
                </c:pt>
                <c:pt idx="109">
                  <c:v>59</c:v>
                </c:pt>
                <c:pt idx="110">
                  <c:v>60</c:v>
                </c:pt>
                <c:pt idx="111">
                  <c:v>54</c:v>
                </c:pt>
                <c:pt idx="112">
                  <c:v>25</c:v>
                </c:pt>
                <c:pt idx="113">
                  <c:v>54</c:v>
                </c:pt>
                <c:pt idx="114">
                  <c:v>55</c:v>
                </c:pt>
                <c:pt idx="115">
                  <c:v>40</c:v>
                </c:pt>
                <c:pt idx="116">
                  <c:v>62</c:v>
                </c:pt>
                <c:pt idx="117">
                  <c:v>65</c:v>
                </c:pt>
                <c:pt idx="118">
                  <c:v>33</c:v>
                </c:pt>
                <c:pt idx="119">
                  <c:v>53</c:v>
                </c:pt>
                <c:pt idx="120">
                  <c:v>35</c:v>
                </c:pt>
                <c:pt idx="121">
                  <c:v>66</c:v>
                </c:pt>
                <c:pt idx="122">
                  <c:v>62</c:v>
                </c:pt>
                <c:pt idx="123">
                  <c:v>50</c:v>
                </c:pt>
                <c:pt idx="124">
                  <c:v>47</c:v>
                </c:pt>
                <c:pt idx="125">
                  <c:v>47</c:v>
                </c:pt>
                <c:pt idx="126">
                  <c:v>24</c:v>
                </c:pt>
                <c:pt idx="127">
                  <c:v>58</c:v>
                </c:pt>
                <c:pt idx="128">
                  <c:v>34</c:v>
                </c:pt>
                <c:pt idx="129">
                  <c:v>51</c:v>
                </c:pt>
                <c:pt idx="130">
                  <c:v>31</c:v>
                </c:pt>
                <c:pt idx="131">
                  <c:v>22</c:v>
                </c:pt>
                <c:pt idx="132">
                  <c:v>53</c:v>
                </c:pt>
                <c:pt idx="133">
                  <c:v>37</c:v>
                </c:pt>
                <c:pt idx="134">
                  <c:v>28</c:v>
                </c:pt>
                <c:pt idx="135">
                  <c:v>47</c:v>
                </c:pt>
                <c:pt idx="136">
                  <c:v>23</c:v>
                </c:pt>
                <c:pt idx="137">
                  <c:v>50</c:v>
                </c:pt>
                <c:pt idx="138">
                  <c:v>58</c:v>
                </c:pt>
                <c:pt idx="139">
                  <c:v>55</c:v>
                </c:pt>
                <c:pt idx="140">
                  <c:v>60</c:v>
                </c:pt>
                <c:pt idx="141">
                  <c:v>41</c:v>
                </c:pt>
                <c:pt idx="142">
                  <c:v>60</c:v>
                </c:pt>
                <c:pt idx="143">
                  <c:v>40</c:v>
                </c:pt>
                <c:pt idx="144">
                  <c:v>57</c:v>
                </c:pt>
                <c:pt idx="145">
                  <c:v>37</c:v>
                </c:pt>
                <c:pt idx="146">
                  <c:v>40</c:v>
                </c:pt>
                <c:pt idx="147">
                  <c:v>33</c:v>
                </c:pt>
                <c:pt idx="148">
                  <c:v>32</c:v>
                </c:pt>
                <c:pt idx="149">
                  <c:v>35</c:v>
                </c:pt>
                <c:pt idx="150">
                  <c:v>55</c:v>
                </c:pt>
                <c:pt idx="151">
                  <c:v>49</c:v>
                </c:pt>
                <c:pt idx="152">
                  <c:v>39</c:v>
                </c:pt>
                <c:pt idx="153">
                  <c:v>60</c:v>
                </c:pt>
                <c:pt idx="154">
                  <c:v>67</c:v>
                </c:pt>
                <c:pt idx="155">
                  <c:v>41</c:v>
                </c:pt>
                <c:pt idx="156">
                  <c:v>44</c:v>
                </c:pt>
                <c:pt idx="157">
                  <c:v>48</c:v>
                </c:pt>
                <c:pt idx="158">
                  <c:v>45</c:v>
                </c:pt>
                <c:pt idx="159">
                  <c:v>47</c:v>
                </c:pt>
                <c:pt idx="160">
                  <c:v>46</c:v>
                </c:pt>
                <c:pt idx="161">
                  <c:v>36</c:v>
                </c:pt>
                <c:pt idx="162">
                  <c:v>34</c:v>
                </c:pt>
                <c:pt idx="163">
                  <c:v>53</c:v>
                </c:pt>
                <c:pt idx="164">
                  <c:v>61</c:v>
                </c:pt>
                <c:pt idx="165">
                  <c:v>37</c:v>
                </c:pt>
                <c:pt idx="166">
                  <c:v>33</c:v>
                </c:pt>
                <c:pt idx="167">
                  <c:v>68</c:v>
                </c:pt>
                <c:pt idx="168">
                  <c:v>49</c:v>
                </c:pt>
                <c:pt idx="169">
                  <c:v>48</c:v>
                </c:pt>
                <c:pt idx="170">
                  <c:v>55</c:v>
                </c:pt>
                <c:pt idx="171">
                  <c:v>43</c:v>
                </c:pt>
                <c:pt idx="172">
                  <c:v>60</c:v>
                </c:pt>
                <c:pt idx="173">
                  <c:v>31</c:v>
                </c:pt>
                <c:pt idx="174">
                  <c:v>53</c:v>
                </c:pt>
                <c:pt idx="175">
                  <c:v>67</c:v>
                </c:pt>
                <c:pt idx="176">
                  <c:v>61</c:v>
                </c:pt>
                <c:pt idx="177">
                  <c:v>62</c:v>
                </c:pt>
                <c:pt idx="178">
                  <c:v>60</c:v>
                </c:pt>
                <c:pt idx="179">
                  <c:v>42</c:v>
                </c:pt>
                <c:pt idx="180">
                  <c:v>38</c:v>
                </c:pt>
                <c:pt idx="181">
                  <c:v>62</c:v>
                </c:pt>
                <c:pt idx="182">
                  <c:v>61</c:v>
                </c:pt>
                <c:pt idx="183">
                  <c:v>61</c:v>
                </c:pt>
                <c:pt idx="184">
                  <c:v>53</c:v>
                </c:pt>
                <c:pt idx="185">
                  <c:v>28</c:v>
                </c:pt>
                <c:pt idx="186">
                  <c:v>26</c:v>
                </c:pt>
                <c:pt idx="187">
                  <c:v>30</c:v>
                </c:pt>
                <c:pt idx="188">
                  <c:v>50</c:v>
                </c:pt>
                <c:pt idx="189">
                  <c:v>48</c:v>
                </c:pt>
                <c:pt idx="190">
                  <c:v>51</c:v>
                </c:pt>
                <c:pt idx="191">
                  <c:v>47</c:v>
                </c:pt>
                <c:pt idx="192">
                  <c:v>64</c:v>
                </c:pt>
                <c:pt idx="193">
                  <c:v>51</c:v>
                </c:pt>
                <c:pt idx="194">
                  <c:v>30</c:v>
                </c:pt>
                <c:pt idx="195">
                  <c:v>56</c:v>
                </c:pt>
                <c:pt idx="196">
                  <c:v>42</c:v>
                </c:pt>
                <c:pt idx="197">
                  <c:v>62</c:v>
                </c:pt>
                <c:pt idx="198">
                  <c:v>34</c:v>
                </c:pt>
                <c:pt idx="199">
                  <c:v>60</c:v>
                </c:pt>
                <c:pt idx="200">
                  <c:v>64</c:v>
                </c:pt>
                <c:pt idx="201">
                  <c:v>39</c:v>
                </c:pt>
                <c:pt idx="202">
                  <c:v>71</c:v>
                </c:pt>
                <c:pt idx="203">
                  <c:v>48</c:v>
                </c:pt>
                <c:pt idx="204">
                  <c:v>79</c:v>
                </c:pt>
                <c:pt idx="205">
                  <c:v>40</c:v>
                </c:pt>
                <c:pt idx="206">
                  <c:v>49</c:v>
                </c:pt>
                <c:pt idx="207">
                  <c:v>51</c:v>
                </c:pt>
                <c:pt idx="208">
                  <c:v>57</c:v>
                </c:pt>
                <c:pt idx="209">
                  <c:v>59</c:v>
                </c:pt>
                <c:pt idx="210">
                  <c:v>51</c:v>
                </c:pt>
                <c:pt idx="211">
                  <c:v>74</c:v>
                </c:pt>
                <c:pt idx="212">
                  <c:v>67</c:v>
                </c:pt>
                <c:pt idx="213">
                  <c:v>49</c:v>
                </c:pt>
                <c:pt idx="214">
                  <c:v>57</c:v>
                </c:pt>
                <c:pt idx="215">
                  <c:v>56</c:v>
                </c:pt>
                <c:pt idx="216">
                  <c:v>52</c:v>
                </c:pt>
                <c:pt idx="217">
                  <c:v>69</c:v>
                </c:pt>
                <c:pt idx="218">
                  <c:v>37</c:v>
                </c:pt>
                <c:pt idx="219">
                  <c:v>24</c:v>
                </c:pt>
                <c:pt idx="220">
                  <c:v>55</c:v>
                </c:pt>
                <c:pt idx="221">
                  <c:v>36</c:v>
                </c:pt>
                <c:pt idx="222">
                  <c:v>42</c:v>
                </c:pt>
                <c:pt idx="223">
                  <c:v>21</c:v>
                </c:pt>
                <c:pt idx="224">
                  <c:v>41</c:v>
                </c:pt>
                <c:pt idx="225">
                  <c:v>57</c:v>
                </c:pt>
                <c:pt idx="226">
                  <c:v>20</c:v>
                </c:pt>
                <c:pt idx="227">
                  <c:v>67</c:v>
                </c:pt>
                <c:pt idx="228">
                  <c:v>34</c:v>
                </c:pt>
                <c:pt idx="229">
                  <c:v>41</c:v>
                </c:pt>
                <c:pt idx="230">
                  <c:v>38</c:v>
                </c:pt>
                <c:pt idx="231">
                  <c:v>51</c:v>
                </c:pt>
                <c:pt idx="232">
                  <c:v>52</c:v>
                </c:pt>
                <c:pt idx="233">
                  <c:v>67</c:v>
                </c:pt>
                <c:pt idx="234">
                  <c:v>61</c:v>
                </c:pt>
                <c:pt idx="235">
                  <c:v>67</c:v>
                </c:pt>
                <c:pt idx="236">
                  <c:v>56</c:v>
                </c:pt>
                <c:pt idx="237">
                  <c:v>64</c:v>
                </c:pt>
                <c:pt idx="238">
                  <c:v>58</c:v>
                </c:pt>
                <c:pt idx="239">
                  <c:v>55</c:v>
                </c:pt>
                <c:pt idx="240">
                  <c:v>62</c:v>
                </c:pt>
                <c:pt idx="241">
                  <c:v>57</c:v>
                </c:pt>
                <c:pt idx="242">
                  <c:v>20</c:v>
                </c:pt>
                <c:pt idx="243">
                  <c:v>53</c:v>
                </c:pt>
                <c:pt idx="244">
                  <c:v>32</c:v>
                </c:pt>
                <c:pt idx="245">
                  <c:v>41</c:v>
                </c:pt>
                <c:pt idx="246">
                  <c:v>60</c:v>
                </c:pt>
                <c:pt idx="247">
                  <c:v>26</c:v>
                </c:pt>
                <c:pt idx="248">
                  <c:v>37</c:v>
                </c:pt>
                <c:pt idx="249">
                  <c:v>45</c:v>
                </c:pt>
                <c:pt idx="250">
                  <c:v>67</c:v>
                </c:pt>
                <c:pt idx="251">
                  <c:v>34</c:v>
                </c:pt>
                <c:pt idx="252">
                  <c:v>50</c:v>
                </c:pt>
                <c:pt idx="253">
                  <c:v>71</c:v>
                </c:pt>
                <c:pt idx="254">
                  <c:v>57</c:v>
                </c:pt>
                <c:pt idx="255">
                  <c:v>49</c:v>
                </c:pt>
                <c:pt idx="256">
                  <c:v>35</c:v>
                </c:pt>
                <c:pt idx="257">
                  <c:v>41</c:v>
                </c:pt>
                <c:pt idx="258">
                  <c:v>70</c:v>
                </c:pt>
                <c:pt idx="259">
                  <c:v>52</c:v>
                </c:pt>
                <c:pt idx="260">
                  <c:v>60</c:v>
                </c:pt>
                <c:pt idx="261">
                  <c:v>62</c:v>
                </c:pt>
                <c:pt idx="262">
                  <c:v>44</c:v>
                </c:pt>
                <c:pt idx="263">
                  <c:v>28</c:v>
                </c:pt>
                <c:pt idx="264">
                  <c:v>58</c:v>
                </c:pt>
                <c:pt idx="265">
                  <c:v>39</c:v>
                </c:pt>
                <c:pt idx="266">
                  <c:v>34</c:v>
                </c:pt>
                <c:pt idx="267">
                  <c:v>65</c:v>
                </c:pt>
                <c:pt idx="268">
                  <c:v>66</c:v>
                </c:pt>
                <c:pt idx="269">
                  <c:v>51</c:v>
                </c:pt>
                <c:pt idx="270">
                  <c:v>50</c:v>
                </c:pt>
                <c:pt idx="271">
                  <c:v>59</c:v>
                </c:pt>
                <c:pt idx="272">
                  <c:v>52</c:v>
                </c:pt>
                <c:pt idx="273">
                  <c:v>69</c:v>
                </c:pt>
                <c:pt idx="274">
                  <c:v>53</c:v>
                </c:pt>
                <c:pt idx="275">
                  <c:v>47</c:v>
                </c:pt>
                <c:pt idx="276">
                  <c:v>52</c:v>
                </c:pt>
                <c:pt idx="277">
                  <c:v>39</c:v>
                </c:pt>
                <c:pt idx="278">
                  <c:v>67</c:v>
                </c:pt>
                <c:pt idx="279">
                  <c:v>59</c:v>
                </c:pt>
                <c:pt idx="280">
                  <c:v>51</c:v>
                </c:pt>
                <c:pt idx="281">
                  <c:v>23</c:v>
                </c:pt>
                <c:pt idx="282">
                  <c:v>68</c:v>
                </c:pt>
                <c:pt idx="283">
                  <c:v>44</c:v>
                </c:pt>
                <c:pt idx="284">
                  <c:v>60</c:v>
                </c:pt>
                <c:pt idx="285">
                  <c:v>52</c:v>
                </c:pt>
                <c:pt idx="286">
                  <c:v>38</c:v>
                </c:pt>
                <c:pt idx="287">
                  <c:v>61</c:v>
                </c:pt>
                <c:pt idx="288">
                  <c:v>68</c:v>
                </c:pt>
                <c:pt idx="289">
                  <c:v>28</c:v>
                </c:pt>
                <c:pt idx="290">
                  <c:v>65</c:v>
                </c:pt>
                <c:pt idx="291">
                  <c:v>69</c:v>
                </c:pt>
                <c:pt idx="292">
                  <c:v>51</c:v>
                </c:pt>
                <c:pt idx="293">
                  <c:v>29</c:v>
                </c:pt>
                <c:pt idx="294">
                  <c:v>55</c:v>
                </c:pt>
                <c:pt idx="295">
                  <c:v>34</c:v>
                </c:pt>
                <c:pt idx="296">
                  <c:v>67</c:v>
                </c:pt>
                <c:pt idx="297">
                  <c:v>49</c:v>
                </c:pt>
                <c:pt idx="298">
                  <c:v>55</c:v>
                </c:pt>
                <c:pt idx="299">
                  <c:v>59</c:v>
                </c:pt>
                <c:pt idx="300">
                  <c:v>53</c:v>
                </c:pt>
                <c:pt idx="301">
                  <c:v>48</c:v>
                </c:pt>
                <c:pt idx="302">
                  <c:v>52</c:v>
                </c:pt>
                <c:pt idx="303">
                  <c:v>69</c:v>
                </c:pt>
                <c:pt idx="304">
                  <c:v>60</c:v>
                </c:pt>
                <c:pt idx="305">
                  <c:v>46</c:v>
                </c:pt>
                <c:pt idx="306">
                  <c:v>51</c:v>
                </c:pt>
                <c:pt idx="307">
                  <c:v>67</c:v>
                </c:pt>
                <c:pt idx="308">
                  <c:v>49</c:v>
                </c:pt>
                <c:pt idx="309">
                  <c:v>46</c:v>
                </c:pt>
                <c:pt idx="310">
                  <c:v>47</c:v>
                </c:pt>
                <c:pt idx="311">
                  <c:v>75</c:v>
                </c:pt>
                <c:pt idx="312">
                  <c:v>28</c:v>
                </c:pt>
                <c:pt idx="313">
                  <c:v>65</c:v>
                </c:pt>
                <c:pt idx="314">
                  <c:v>42</c:v>
                </c:pt>
                <c:pt idx="315">
                  <c:v>51</c:v>
                </c:pt>
                <c:pt idx="316">
                  <c:v>53</c:v>
                </c:pt>
                <c:pt idx="317">
                  <c:v>54</c:v>
                </c:pt>
                <c:pt idx="318">
                  <c:v>73</c:v>
                </c:pt>
                <c:pt idx="319">
                  <c:v>54</c:v>
                </c:pt>
                <c:pt idx="320">
                  <c:v>42</c:v>
                </c:pt>
                <c:pt idx="321">
                  <c:v>75</c:v>
                </c:pt>
                <c:pt idx="322">
                  <c:v>55</c:v>
                </c:pt>
                <c:pt idx="323">
                  <c:v>68</c:v>
                </c:pt>
                <c:pt idx="324">
                  <c:v>57</c:v>
                </c:pt>
                <c:pt idx="325">
                  <c:v>48</c:v>
                </c:pt>
                <c:pt idx="326">
                  <c:v>61</c:v>
                </c:pt>
                <c:pt idx="327">
                  <c:v>69</c:v>
                </c:pt>
                <c:pt idx="328">
                  <c:v>38</c:v>
                </c:pt>
                <c:pt idx="329">
                  <c:v>45</c:v>
                </c:pt>
                <c:pt idx="330">
                  <c:v>51</c:v>
                </c:pt>
                <c:pt idx="331">
                  <c:v>71</c:v>
                </c:pt>
                <c:pt idx="332">
                  <c:v>57</c:v>
                </c:pt>
                <c:pt idx="333">
                  <c:v>56</c:v>
                </c:pt>
                <c:pt idx="334">
                  <c:v>32</c:v>
                </c:pt>
                <c:pt idx="335">
                  <c:v>50</c:v>
                </c:pt>
                <c:pt idx="336">
                  <c:v>43</c:v>
                </c:pt>
                <c:pt idx="337">
                  <c:v>54</c:v>
                </c:pt>
                <c:pt idx="338">
                  <c:v>31</c:v>
                </c:pt>
                <c:pt idx="339">
                  <c:v>56</c:v>
                </c:pt>
                <c:pt idx="340">
                  <c:v>44</c:v>
                </c:pt>
                <c:pt idx="341">
                  <c:v>57</c:v>
                </c:pt>
                <c:pt idx="342">
                  <c:v>64</c:v>
                </c:pt>
                <c:pt idx="343">
                  <c:v>43</c:v>
                </c:pt>
                <c:pt idx="344">
                  <c:v>19</c:v>
                </c:pt>
                <c:pt idx="345">
                  <c:v>71</c:v>
                </c:pt>
                <c:pt idx="346">
                  <c:v>50</c:v>
                </c:pt>
                <c:pt idx="347">
                  <c:v>59</c:v>
                </c:pt>
                <c:pt idx="348">
                  <c:v>57</c:v>
                </c:pt>
                <c:pt idx="349">
                  <c:v>49</c:v>
                </c:pt>
                <c:pt idx="350">
                  <c:v>41</c:v>
                </c:pt>
                <c:pt idx="351">
                  <c:v>25</c:v>
                </c:pt>
                <c:pt idx="352">
                  <c:v>52</c:v>
                </c:pt>
                <c:pt idx="353">
                  <c:v>34</c:v>
                </c:pt>
                <c:pt idx="354">
                  <c:v>42</c:v>
                </c:pt>
                <c:pt idx="355">
                  <c:v>28</c:v>
                </c:pt>
                <c:pt idx="356">
                  <c:v>47</c:v>
                </c:pt>
                <c:pt idx="357">
                  <c:v>32</c:v>
                </c:pt>
                <c:pt idx="358">
                  <c:v>43</c:v>
                </c:pt>
                <c:pt idx="359">
                  <c:v>59</c:v>
                </c:pt>
                <c:pt idx="360">
                  <c:v>53</c:v>
                </c:pt>
                <c:pt idx="361">
                  <c:v>60</c:v>
                </c:pt>
                <c:pt idx="362">
                  <c:v>54</c:v>
                </c:pt>
                <c:pt idx="363">
                  <c:v>35</c:v>
                </c:pt>
                <c:pt idx="364">
                  <c:v>49</c:v>
                </c:pt>
                <c:pt idx="365">
                  <c:v>58</c:v>
                </c:pt>
                <c:pt idx="366">
                  <c:v>36</c:v>
                </c:pt>
                <c:pt idx="367">
                  <c:v>46</c:v>
                </c:pt>
                <c:pt idx="368">
                  <c:v>44</c:v>
                </c:pt>
                <c:pt idx="369">
                  <c:v>46</c:v>
                </c:pt>
                <c:pt idx="370">
                  <c:v>54</c:v>
                </c:pt>
                <c:pt idx="371">
                  <c:v>63</c:v>
                </c:pt>
                <c:pt idx="372">
                  <c:v>41</c:v>
                </c:pt>
                <c:pt idx="373">
                  <c:v>28</c:v>
                </c:pt>
                <c:pt idx="374">
                  <c:v>19</c:v>
                </c:pt>
                <c:pt idx="375">
                  <c:v>61</c:v>
                </c:pt>
                <c:pt idx="376">
                  <c:v>48</c:v>
                </c:pt>
                <c:pt idx="377">
                  <c:v>54</c:v>
                </c:pt>
                <c:pt idx="378">
                  <c:v>53</c:v>
                </c:pt>
                <c:pt idx="379">
                  <c:v>48</c:v>
                </c:pt>
                <c:pt idx="380">
                  <c:v>53</c:v>
                </c:pt>
                <c:pt idx="381">
                  <c:v>29</c:v>
                </c:pt>
                <c:pt idx="382">
                  <c:v>62</c:v>
                </c:pt>
                <c:pt idx="383">
                  <c:v>50</c:v>
                </c:pt>
                <c:pt idx="384">
                  <c:v>58</c:v>
                </c:pt>
                <c:pt idx="385">
                  <c:v>55</c:v>
                </c:pt>
                <c:pt idx="386">
                  <c:v>54</c:v>
                </c:pt>
                <c:pt idx="387">
                  <c:v>36</c:v>
                </c:pt>
                <c:pt idx="388">
                  <c:v>63</c:v>
                </c:pt>
                <c:pt idx="389">
                  <c:v>47</c:v>
                </c:pt>
                <c:pt idx="390">
                  <c:v>51</c:v>
                </c:pt>
                <c:pt idx="391">
                  <c:v>42</c:v>
                </c:pt>
                <c:pt idx="392">
                  <c:v>37</c:v>
                </c:pt>
                <c:pt idx="393">
                  <c:v>28</c:v>
                </c:pt>
                <c:pt idx="394">
                  <c:v>58</c:v>
                </c:pt>
                <c:pt idx="395">
                  <c:v>32</c:v>
                </c:pt>
                <c:pt idx="396">
                  <c:v>25</c:v>
                </c:pt>
                <c:pt idx="397">
                  <c:v>63</c:v>
                </c:pt>
                <c:pt idx="398">
                  <c:v>52</c:v>
                </c:pt>
                <c:pt idx="399">
                  <c:v>65</c:v>
                </c:pt>
                <c:pt idx="400">
                  <c:v>42</c:v>
                </c:pt>
                <c:pt idx="401">
                  <c:v>53</c:v>
                </c:pt>
                <c:pt idx="402">
                  <c:v>79</c:v>
                </c:pt>
                <c:pt idx="403">
                  <c:v>43</c:v>
                </c:pt>
                <c:pt idx="404">
                  <c:v>44</c:v>
                </c:pt>
                <c:pt idx="405">
                  <c:v>62</c:v>
                </c:pt>
                <c:pt idx="406">
                  <c:v>33</c:v>
                </c:pt>
                <c:pt idx="407">
                  <c:v>56</c:v>
                </c:pt>
                <c:pt idx="408">
                  <c:v>66</c:v>
                </c:pt>
                <c:pt idx="409">
                  <c:v>34</c:v>
                </c:pt>
                <c:pt idx="410">
                  <c:v>46</c:v>
                </c:pt>
                <c:pt idx="411">
                  <c:v>50</c:v>
                </c:pt>
                <c:pt idx="412">
                  <c:v>69</c:v>
                </c:pt>
                <c:pt idx="413">
                  <c:v>34</c:v>
                </c:pt>
                <c:pt idx="414">
                  <c:v>71</c:v>
                </c:pt>
                <c:pt idx="415">
                  <c:v>47</c:v>
                </c:pt>
                <c:pt idx="416">
                  <c:v>41</c:v>
                </c:pt>
                <c:pt idx="417">
                  <c:v>34</c:v>
                </c:pt>
                <c:pt idx="418">
                  <c:v>51</c:v>
                </c:pt>
                <c:pt idx="419">
                  <c:v>43</c:v>
                </c:pt>
                <c:pt idx="420">
                  <c:v>55</c:v>
                </c:pt>
                <c:pt idx="421">
                  <c:v>59</c:v>
                </c:pt>
                <c:pt idx="422">
                  <c:v>27</c:v>
                </c:pt>
                <c:pt idx="423">
                  <c:v>51</c:v>
                </c:pt>
                <c:pt idx="424">
                  <c:v>49</c:v>
                </c:pt>
                <c:pt idx="425">
                  <c:v>27</c:v>
                </c:pt>
                <c:pt idx="426">
                  <c:v>57</c:v>
                </c:pt>
                <c:pt idx="427">
                  <c:v>39</c:v>
                </c:pt>
                <c:pt idx="428">
                  <c:v>62</c:v>
                </c:pt>
                <c:pt idx="429">
                  <c:v>37</c:v>
                </c:pt>
                <c:pt idx="430">
                  <c:v>46</c:v>
                </c:pt>
                <c:pt idx="431">
                  <c:v>68</c:v>
                </c:pt>
                <c:pt idx="432">
                  <c:v>51</c:v>
                </c:pt>
                <c:pt idx="433">
                  <c:v>41</c:v>
                </c:pt>
                <c:pt idx="434">
                  <c:v>53</c:v>
                </c:pt>
                <c:pt idx="435">
                  <c:v>45</c:v>
                </c:pt>
                <c:pt idx="436">
                  <c:v>33</c:v>
                </c:pt>
                <c:pt idx="437">
                  <c:v>60</c:v>
                </c:pt>
                <c:pt idx="438">
                  <c:v>47</c:v>
                </c:pt>
                <c:pt idx="439">
                  <c:v>60</c:v>
                </c:pt>
                <c:pt idx="440">
                  <c:v>36</c:v>
                </c:pt>
                <c:pt idx="441">
                  <c:v>36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1E-4500-B407-748145458B08}"/>
            </c:ext>
          </c:extLst>
        </c:ser>
        <c:ser>
          <c:idx val="0"/>
          <c:order val="1"/>
          <c:tx>
            <c:strRef>
              <c:f>RawData!$C$1</c:f>
              <c:strCache>
                <c:ptCount val="1"/>
                <c:pt idx="0">
                  <c:v>BMI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RawData!$C$2:$C$443</c:f>
              <c:numCache>
                <c:formatCode>General</c:formatCode>
                <c:ptCount val="442"/>
                <c:pt idx="0">
                  <c:v>32.1</c:v>
                </c:pt>
                <c:pt idx="1">
                  <c:v>21.6</c:v>
                </c:pt>
                <c:pt idx="2">
                  <c:v>30.5</c:v>
                </c:pt>
                <c:pt idx="3">
                  <c:v>25.3</c:v>
                </c:pt>
                <c:pt idx="4">
                  <c:v>23</c:v>
                </c:pt>
                <c:pt idx="5">
                  <c:v>22.6</c:v>
                </c:pt>
                <c:pt idx="6">
                  <c:v>22</c:v>
                </c:pt>
                <c:pt idx="7">
                  <c:v>26.2</c:v>
                </c:pt>
                <c:pt idx="8">
                  <c:v>32.1</c:v>
                </c:pt>
                <c:pt idx="9">
                  <c:v>30</c:v>
                </c:pt>
                <c:pt idx="10">
                  <c:v>18.600000000000001</c:v>
                </c:pt>
                <c:pt idx="11">
                  <c:v>28</c:v>
                </c:pt>
                <c:pt idx="12">
                  <c:v>23.7</c:v>
                </c:pt>
                <c:pt idx="13">
                  <c:v>26.2</c:v>
                </c:pt>
                <c:pt idx="14">
                  <c:v>24</c:v>
                </c:pt>
                <c:pt idx="15">
                  <c:v>24.7</c:v>
                </c:pt>
                <c:pt idx="16">
                  <c:v>30.3</c:v>
                </c:pt>
                <c:pt idx="17">
                  <c:v>27.5</c:v>
                </c:pt>
                <c:pt idx="18">
                  <c:v>25.4</c:v>
                </c:pt>
                <c:pt idx="19">
                  <c:v>24.7</c:v>
                </c:pt>
                <c:pt idx="20">
                  <c:v>21.1</c:v>
                </c:pt>
                <c:pt idx="21">
                  <c:v>24.3</c:v>
                </c:pt>
                <c:pt idx="22">
                  <c:v>26</c:v>
                </c:pt>
                <c:pt idx="23">
                  <c:v>32</c:v>
                </c:pt>
                <c:pt idx="24">
                  <c:v>29.7</c:v>
                </c:pt>
                <c:pt idx="25">
                  <c:v>25.2</c:v>
                </c:pt>
                <c:pt idx="26">
                  <c:v>19.2</c:v>
                </c:pt>
                <c:pt idx="27">
                  <c:v>31.9</c:v>
                </c:pt>
                <c:pt idx="28">
                  <c:v>24.4</c:v>
                </c:pt>
                <c:pt idx="29">
                  <c:v>25.8</c:v>
                </c:pt>
                <c:pt idx="30">
                  <c:v>30.5</c:v>
                </c:pt>
                <c:pt idx="31">
                  <c:v>20.3</c:v>
                </c:pt>
                <c:pt idx="32">
                  <c:v>38</c:v>
                </c:pt>
                <c:pt idx="33">
                  <c:v>21.7</c:v>
                </c:pt>
                <c:pt idx="34">
                  <c:v>20.5</c:v>
                </c:pt>
                <c:pt idx="35">
                  <c:v>23.5</c:v>
                </c:pt>
                <c:pt idx="36">
                  <c:v>28.5</c:v>
                </c:pt>
                <c:pt idx="37">
                  <c:v>27.4</c:v>
                </c:pt>
                <c:pt idx="38">
                  <c:v>33</c:v>
                </c:pt>
                <c:pt idx="39">
                  <c:v>27.7</c:v>
                </c:pt>
                <c:pt idx="40">
                  <c:v>25.6</c:v>
                </c:pt>
                <c:pt idx="41">
                  <c:v>20.100000000000001</c:v>
                </c:pt>
                <c:pt idx="42">
                  <c:v>25.4</c:v>
                </c:pt>
                <c:pt idx="43">
                  <c:v>24.2</c:v>
                </c:pt>
                <c:pt idx="44">
                  <c:v>32.700000000000003</c:v>
                </c:pt>
                <c:pt idx="45">
                  <c:v>23.1</c:v>
                </c:pt>
                <c:pt idx="46">
                  <c:v>25.3</c:v>
                </c:pt>
                <c:pt idx="47">
                  <c:v>19.600000000000001</c:v>
                </c:pt>
                <c:pt idx="48">
                  <c:v>22.5</c:v>
                </c:pt>
                <c:pt idx="49">
                  <c:v>27.7</c:v>
                </c:pt>
                <c:pt idx="50">
                  <c:v>25.7</c:v>
                </c:pt>
                <c:pt idx="51">
                  <c:v>27.9</c:v>
                </c:pt>
                <c:pt idx="52">
                  <c:v>25.5</c:v>
                </c:pt>
                <c:pt idx="53">
                  <c:v>24.9</c:v>
                </c:pt>
                <c:pt idx="54">
                  <c:v>28.7</c:v>
                </c:pt>
                <c:pt idx="55">
                  <c:v>21.8</c:v>
                </c:pt>
                <c:pt idx="56">
                  <c:v>30.2</c:v>
                </c:pt>
                <c:pt idx="57">
                  <c:v>20.5</c:v>
                </c:pt>
                <c:pt idx="58">
                  <c:v>20.399999999999999</c:v>
                </c:pt>
                <c:pt idx="59">
                  <c:v>24</c:v>
                </c:pt>
                <c:pt idx="60">
                  <c:v>26</c:v>
                </c:pt>
                <c:pt idx="61">
                  <c:v>26.8</c:v>
                </c:pt>
                <c:pt idx="62">
                  <c:v>25.7</c:v>
                </c:pt>
                <c:pt idx="63">
                  <c:v>22.9</c:v>
                </c:pt>
                <c:pt idx="64">
                  <c:v>24</c:v>
                </c:pt>
                <c:pt idx="65">
                  <c:v>24.1</c:v>
                </c:pt>
                <c:pt idx="66">
                  <c:v>24.7</c:v>
                </c:pt>
                <c:pt idx="67">
                  <c:v>25</c:v>
                </c:pt>
                <c:pt idx="68">
                  <c:v>23.6</c:v>
                </c:pt>
                <c:pt idx="69">
                  <c:v>22.1</c:v>
                </c:pt>
                <c:pt idx="70">
                  <c:v>19.899999999999999</c:v>
                </c:pt>
                <c:pt idx="71">
                  <c:v>29.5</c:v>
                </c:pt>
                <c:pt idx="72">
                  <c:v>26</c:v>
                </c:pt>
                <c:pt idx="73">
                  <c:v>24.5</c:v>
                </c:pt>
                <c:pt idx="74">
                  <c:v>26.6</c:v>
                </c:pt>
                <c:pt idx="75">
                  <c:v>23.5</c:v>
                </c:pt>
                <c:pt idx="76">
                  <c:v>29</c:v>
                </c:pt>
                <c:pt idx="77">
                  <c:v>23</c:v>
                </c:pt>
                <c:pt idx="78">
                  <c:v>21</c:v>
                </c:pt>
                <c:pt idx="79">
                  <c:v>22.9</c:v>
                </c:pt>
                <c:pt idx="80">
                  <c:v>27.5</c:v>
                </c:pt>
                <c:pt idx="81">
                  <c:v>24.3</c:v>
                </c:pt>
                <c:pt idx="82">
                  <c:v>23.1</c:v>
                </c:pt>
                <c:pt idx="83">
                  <c:v>27.3</c:v>
                </c:pt>
                <c:pt idx="84">
                  <c:v>22.7</c:v>
                </c:pt>
                <c:pt idx="85">
                  <c:v>33</c:v>
                </c:pt>
                <c:pt idx="86">
                  <c:v>19.399999999999999</c:v>
                </c:pt>
                <c:pt idx="87">
                  <c:v>25.8</c:v>
                </c:pt>
                <c:pt idx="88">
                  <c:v>22.6</c:v>
                </c:pt>
                <c:pt idx="89">
                  <c:v>21.9</c:v>
                </c:pt>
                <c:pt idx="90">
                  <c:v>24</c:v>
                </c:pt>
                <c:pt idx="91">
                  <c:v>31.2</c:v>
                </c:pt>
                <c:pt idx="92">
                  <c:v>26.8</c:v>
                </c:pt>
                <c:pt idx="93">
                  <c:v>20.399999999999999</c:v>
                </c:pt>
                <c:pt idx="94">
                  <c:v>24.8</c:v>
                </c:pt>
                <c:pt idx="95">
                  <c:v>21</c:v>
                </c:pt>
                <c:pt idx="96">
                  <c:v>27.3</c:v>
                </c:pt>
                <c:pt idx="97">
                  <c:v>34.6</c:v>
                </c:pt>
                <c:pt idx="98">
                  <c:v>25.9</c:v>
                </c:pt>
                <c:pt idx="99">
                  <c:v>20.399999999999999</c:v>
                </c:pt>
                <c:pt idx="100">
                  <c:v>28</c:v>
                </c:pt>
                <c:pt idx="101">
                  <c:v>22.2</c:v>
                </c:pt>
                <c:pt idx="102">
                  <c:v>29</c:v>
                </c:pt>
                <c:pt idx="103">
                  <c:v>30.2</c:v>
                </c:pt>
                <c:pt idx="104">
                  <c:v>32.4</c:v>
                </c:pt>
                <c:pt idx="105">
                  <c:v>23.4</c:v>
                </c:pt>
                <c:pt idx="106">
                  <c:v>19.3</c:v>
                </c:pt>
                <c:pt idx="107">
                  <c:v>31</c:v>
                </c:pt>
                <c:pt idx="108">
                  <c:v>30.6</c:v>
                </c:pt>
                <c:pt idx="109">
                  <c:v>25.5</c:v>
                </c:pt>
                <c:pt idx="110">
                  <c:v>23.4</c:v>
                </c:pt>
                <c:pt idx="111">
                  <c:v>26.8</c:v>
                </c:pt>
                <c:pt idx="112">
                  <c:v>28.3</c:v>
                </c:pt>
                <c:pt idx="113">
                  <c:v>27.7</c:v>
                </c:pt>
                <c:pt idx="114">
                  <c:v>36.6</c:v>
                </c:pt>
                <c:pt idx="115">
                  <c:v>26.5</c:v>
                </c:pt>
                <c:pt idx="116">
                  <c:v>31.8</c:v>
                </c:pt>
                <c:pt idx="117">
                  <c:v>24.4</c:v>
                </c:pt>
                <c:pt idx="118">
                  <c:v>25.4</c:v>
                </c:pt>
                <c:pt idx="119">
                  <c:v>22</c:v>
                </c:pt>
                <c:pt idx="120">
                  <c:v>26.8</c:v>
                </c:pt>
                <c:pt idx="121">
                  <c:v>28</c:v>
                </c:pt>
                <c:pt idx="122">
                  <c:v>33.9</c:v>
                </c:pt>
                <c:pt idx="123">
                  <c:v>29.6</c:v>
                </c:pt>
                <c:pt idx="124">
                  <c:v>28.6</c:v>
                </c:pt>
                <c:pt idx="125">
                  <c:v>25.6</c:v>
                </c:pt>
                <c:pt idx="126">
                  <c:v>20.7</c:v>
                </c:pt>
                <c:pt idx="127">
                  <c:v>26.2</c:v>
                </c:pt>
                <c:pt idx="128">
                  <c:v>20.6</c:v>
                </c:pt>
                <c:pt idx="129">
                  <c:v>27.9</c:v>
                </c:pt>
                <c:pt idx="130">
                  <c:v>35.299999999999997</c:v>
                </c:pt>
                <c:pt idx="131">
                  <c:v>19.899999999999999</c:v>
                </c:pt>
                <c:pt idx="132">
                  <c:v>24.4</c:v>
                </c:pt>
                <c:pt idx="133">
                  <c:v>21.4</c:v>
                </c:pt>
                <c:pt idx="134">
                  <c:v>30.4</c:v>
                </c:pt>
                <c:pt idx="135">
                  <c:v>31.6</c:v>
                </c:pt>
                <c:pt idx="136">
                  <c:v>18.8</c:v>
                </c:pt>
                <c:pt idx="137">
                  <c:v>31</c:v>
                </c:pt>
                <c:pt idx="138">
                  <c:v>36.700000000000003</c:v>
                </c:pt>
                <c:pt idx="139">
                  <c:v>32.1</c:v>
                </c:pt>
                <c:pt idx="140">
                  <c:v>27.7</c:v>
                </c:pt>
                <c:pt idx="141">
                  <c:v>30.8</c:v>
                </c:pt>
                <c:pt idx="142">
                  <c:v>27.5</c:v>
                </c:pt>
                <c:pt idx="143">
                  <c:v>26.9</c:v>
                </c:pt>
                <c:pt idx="144">
                  <c:v>30.7</c:v>
                </c:pt>
                <c:pt idx="145">
                  <c:v>38.299999999999997</c:v>
                </c:pt>
                <c:pt idx="146">
                  <c:v>31.9</c:v>
                </c:pt>
                <c:pt idx="147">
                  <c:v>35</c:v>
                </c:pt>
                <c:pt idx="148">
                  <c:v>27.8</c:v>
                </c:pt>
                <c:pt idx="149">
                  <c:v>25.9</c:v>
                </c:pt>
                <c:pt idx="150">
                  <c:v>32.9</c:v>
                </c:pt>
                <c:pt idx="151">
                  <c:v>26</c:v>
                </c:pt>
                <c:pt idx="152">
                  <c:v>26.3</c:v>
                </c:pt>
                <c:pt idx="153">
                  <c:v>22.3</c:v>
                </c:pt>
                <c:pt idx="154">
                  <c:v>28.3</c:v>
                </c:pt>
                <c:pt idx="155">
                  <c:v>32</c:v>
                </c:pt>
                <c:pt idx="156">
                  <c:v>25.4</c:v>
                </c:pt>
                <c:pt idx="157">
                  <c:v>23.3</c:v>
                </c:pt>
                <c:pt idx="158">
                  <c:v>20.3</c:v>
                </c:pt>
                <c:pt idx="159">
                  <c:v>30.4</c:v>
                </c:pt>
                <c:pt idx="160">
                  <c:v>20.6</c:v>
                </c:pt>
                <c:pt idx="161">
                  <c:v>32.299999999999997</c:v>
                </c:pt>
                <c:pt idx="162">
                  <c:v>29.2</c:v>
                </c:pt>
                <c:pt idx="163">
                  <c:v>33.1</c:v>
                </c:pt>
                <c:pt idx="164">
                  <c:v>24.6</c:v>
                </c:pt>
                <c:pt idx="165">
                  <c:v>20.2</c:v>
                </c:pt>
                <c:pt idx="166">
                  <c:v>20.8</c:v>
                </c:pt>
                <c:pt idx="167">
                  <c:v>32.799999999999997</c:v>
                </c:pt>
                <c:pt idx="168">
                  <c:v>31.9</c:v>
                </c:pt>
                <c:pt idx="169">
                  <c:v>23.9</c:v>
                </c:pt>
                <c:pt idx="170">
                  <c:v>24.5</c:v>
                </c:pt>
                <c:pt idx="171">
                  <c:v>22.1</c:v>
                </c:pt>
                <c:pt idx="172">
                  <c:v>33</c:v>
                </c:pt>
                <c:pt idx="173">
                  <c:v>19</c:v>
                </c:pt>
                <c:pt idx="174">
                  <c:v>27.3</c:v>
                </c:pt>
                <c:pt idx="175">
                  <c:v>22.8</c:v>
                </c:pt>
                <c:pt idx="176">
                  <c:v>28.2</c:v>
                </c:pt>
                <c:pt idx="177">
                  <c:v>28.9</c:v>
                </c:pt>
                <c:pt idx="178">
                  <c:v>25.6</c:v>
                </c:pt>
                <c:pt idx="179">
                  <c:v>24.9</c:v>
                </c:pt>
                <c:pt idx="180">
                  <c:v>26.8</c:v>
                </c:pt>
                <c:pt idx="181">
                  <c:v>22.4</c:v>
                </c:pt>
                <c:pt idx="182">
                  <c:v>26.9</c:v>
                </c:pt>
                <c:pt idx="183">
                  <c:v>23.1</c:v>
                </c:pt>
                <c:pt idx="184">
                  <c:v>28.6</c:v>
                </c:pt>
                <c:pt idx="185">
                  <c:v>24.7</c:v>
                </c:pt>
                <c:pt idx="186">
                  <c:v>30.3</c:v>
                </c:pt>
                <c:pt idx="187">
                  <c:v>21.3</c:v>
                </c:pt>
                <c:pt idx="188">
                  <c:v>26.1</c:v>
                </c:pt>
                <c:pt idx="189">
                  <c:v>20.2</c:v>
                </c:pt>
                <c:pt idx="190">
                  <c:v>25.2</c:v>
                </c:pt>
                <c:pt idx="191">
                  <c:v>22.5</c:v>
                </c:pt>
                <c:pt idx="192">
                  <c:v>23.5</c:v>
                </c:pt>
                <c:pt idx="193">
                  <c:v>25.9</c:v>
                </c:pt>
                <c:pt idx="194">
                  <c:v>20.9</c:v>
                </c:pt>
                <c:pt idx="195">
                  <c:v>28.7</c:v>
                </c:pt>
                <c:pt idx="196">
                  <c:v>22.1</c:v>
                </c:pt>
                <c:pt idx="197">
                  <c:v>26.7</c:v>
                </c:pt>
                <c:pt idx="198">
                  <c:v>31.4</c:v>
                </c:pt>
                <c:pt idx="199">
                  <c:v>22.2</c:v>
                </c:pt>
                <c:pt idx="200">
                  <c:v>21</c:v>
                </c:pt>
                <c:pt idx="201">
                  <c:v>21.2</c:v>
                </c:pt>
                <c:pt idx="202">
                  <c:v>26.5</c:v>
                </c:pt>
                <c:pt idx="203">
                  <c:v>29.2</c:v>
                </c:pt>
                <c:pt idx="204">
                  <c:v>27</c:v>
                </c:pt>
                <c:pt idx="205">
                  <c:v>30.7</c:v>
                </c:pt>
                <c:pt idx="206">
                  <c:v>28.8</c:v>
                </c:pt>
                <c:pt idx="207">
                  <c:v>30.6</c:v>
                </c:pt>
                <c:pt idx="208">
                  <c:v>30.1</c:v>
                </c:pt>
                <c:pt idx="209">
                  <c:v>24.7</c:v>
                </c:pt>
                <c:pt idx="210">
                  <c:v>27.7</c:v>
                </c:pt>
                <c:pt idx="211">
                  <c:v>29.8</c:v>
                </c:pt>
                <c:pt idx="212">
                  <c:v>26.7</c:v>
                </c:pt>
                <c:pt idx="213">
                  <c:v>19.8</c:v>
                </c:pt>
                <c:pt idx="214">
                  <c:v>23.3</c:v>
                </c:pt>
                <c:pt idx="215">
                  <c:v>35.1</c:v>
                </c:pt>
                <c:pt idx="216">
                  <c:v>29.7</c:v>
                </c:pt>
                <c:pt idx="217">
                  <c:v>29.3</c:v>
                </c:pt>
                <c:pt idx="218">
                  <c:v>20.3</c:v>
                </c:pt>
                <c:pt idx="219">
                  <c:v>22.5</c:v>
                </c:pt>
                <c:pt idx="220">
                  <c:v>22.7</c:v>
                </c:pt>
                <c:pt idx="221">
                  <c:v>22.8</c:v>
                </c:pt>
                <c:pt idx="222">
                  <c:v>24</c:v>
                </c:pt>
                <c:pt idx="223">
                  <c:v>24.2</c:v>
                </c:pt>
                <c:pt idx="224">
                  <c:v>20.2</c:v>
                </c:pt>
                <c:pt idx="225">
                  <c:v>29.4</c:v>
                </c:pt>
                <c:pt idx="226">
                  <c:v>22.1</c:v>
                </c:pt>
                <c:pt idx="227">
                  <c:v>23.6</c:v>
                </c:pt>
                <c:pt idx="228">
                  <c:v>25.2</c:v>
                </c:pt>
                <c:pt idx="229">
                  <c:v>24.9</c:v>
                </c:pt>
                <c:pt idx="230">
                  <c:v>33</c:v>
                </c:pt>
                <c:pt idx="231">
                  <c:v>23.5</c:v>
                </c:pt>
                <c:pt idx="232">
                  <c:v>26.4</c:v>
                </c:pt>
                <c:pt idx="233">
                  <c:v>29.8</c:v>
                </c:pt>
                <c:pt idx="234">
                  <c:v>30</c:v>
                </c:pt>
                <c:pt idx="235">
                  <c:v>25</c:v>
                </c:pt>
                <c:pt idx="236">
                  <c:v>27</c:v>
                </c:pt>
                <c:pt idx="237">
                  <c:v>20</c:v>
                </c:pt>
                <c:pt idx="238">
                  <c:v>25.5</c:v>
                </c:pt>
                <c:pt idx="239">
                  <c:v>28.2</c:v>
                </c:pt>
                <c:pt idx="240">
                  <c:v>33.299999999999997</c:v>
                </c:pt>
                <c:pt idx="241">
                  <c:v>25.6</c:v>
                </c:pt>
                <c:pt idx="242">
                  <c:v>24.2</c:v>
                </c:pt>
                <c:pt idx="243">
                  <c:v>22.1</c:v>
                </c:pt>
                <c:pt idx="244">
                  <c:v>31.4</c:v>
                </c:pt>
                <c:pt idx="245">
                  <c:v>23.1</c:v>
                </c:pt>
                <c:pt idx="246">
                  <c:v>23.4</c:v>
                </c:pt>
                <c:pt idx="247">
                  <c:v>18.8</c:v>
                </c:pt>
                <c:pt idx="248">
                  <c:v>30.8</c:v>
                </c:pt>
                <c:pt idx="249">
                  <c:v>32</c:v>
                </c:pt>
                <c:pt idx="250">
                  <c:v>31.6</c:v>
                </c:pt>
                <c:pt idx="251">
                  <c:v>35.5</c:v>
                </c:pt>
                <c:pt idx="252">
                  <c:v>31.9</c:v>
                </c:pt>
                <c:pt idx="253">
                  <c:v>29.5</c:v>
                </c:pt>
                <c:pt idx="254">
                  <c:v>31.6</c:v>
                </c:pt>
                <c:pt idx="255">
                  <c:v>20.3</c:v>
                </c:pt>
                <c:pt idx="256">
                  <c:v>41.3</c:v>
                </c:pt>
                <c:pt idx="257">
                  <c:v>21.2</c:v>
                </c:pt>
                <c:pt idx="258">
                  <c:v>24.1</c:v>
                </c:pt>
                <c:pt idx="259">
                  <c:v>23</c:v>
                </c:pt>
                <c:pt idx="260">
                  <c:v>25.6</c:v>
                </c:pt>
                <c:pt idx="261">
                  <c:v>22.5</c:v>
                </c:pt>
                <c:pt idx="262">
                  <c:v>38.200000000000003</c:v>
                </c:pt>
                <c:pt idx="263">
                  <c:v>19.2</c:v>
                </c:pt>
                <c:pt idx="264">
                  <c:v>29</c:v>
                </c:pt>
                <c:pt idx="265">
                  <c:v>24</c:v>
                </c:pt>
                <c:pt idx="266">
                  <c:v>20.6</c:v>
                </c:pt>
                <c:pt idx="267">
                  <c:v>26.3</c:v>
                </c:pt>
                <c:pt idx="268">
                  <c:v>34.6</c:v>
                </c:pt>
                <c:pt idx="269">
                  <c:v>23.4</c:v>
                </c:pt>
                <c:pt idx="270">
                  <c:v>29.2</c:v>
                </c:pt>
                <c:pt idx="271">
                  <c:v>27.2</c:v>
                </c:pt>
                <c:pt idx="272">
                  <c:v>27</c:v>
                </c:pt>
                <c:pt idx="273">
                  <c:v>24.5</c:v>
                </c:pt>
                <c:pt idx="274">
                  <c:v>24.1</c:v>
                </c:pt>
                <c:pt idx="275">
                  <c:v>25.3</c:v>
                </c:pt>
                <c:pt idx="276">
                  <c:v>28.8</c:v>
                </c:pt>
                <c:pt idx="277">
                  <c:v>20.9</c:v>
                </c:pt>
                <c:pt idx="278">
                  <c:v>23</c:v>
                </c:pt>
                <c:pt idx="279">
                  <c:v>24.1</c:v>
                </c:pt>
                <c:pt idx="280">
                  <c:v>28.1</c:v>
                </c:pt>
                <c:pt idx="281">
                  <c:v>18</c:v>
                </c:pt>
                <c:pt idx="282">
                  <c:v>25.9</c:v>
                </c:pt>
                <c:pt idx="283">
                  <c:v>21.5</c:v>
                </c:pt>
                <c:pt idx="284">
                  <c:v>24.3</c:v>
                </c:pt>
                <c:pt idx="285">
                  <c:v>24.5</c:v>
                </c:pt>
                <c:pt idx="286">
                  <c:v>21.3</c:v>
                </c:pt>
                <c:pt idx="287">
                  <c:v>25.8</c:v>
                </c:pt>
                <c:pt idx="288">
                  <c:v>24.8</c:v>
                </c:pt>
                <c:pt idx="289">
                  <c:v>31.5</c:v>
                </c:pt>
                <c:pt idx="290">
                  <c:v>33.5</c:v>
                </c:pt>
                <c:pt idx="291">
                  <c:v>28.1</c:v>
                </c:pt>
                <c:pt idx="292">
                  <c:v>24.3</c:v>
                </c:pt>
                <c:pt idx="293">
                  <c:v>35</c:v>
                </c:pt>
                <c:pt idx="294">
                  <c:v>23.5</c:v>
                </c:pt>
                <c:pt idx="295">
                  <c:v>30</c:v>
                </c:pt>
                <c:pt idx="296">
                  <c:v>20.7</c:v>
                </c:pt>
                <c:pt idx="297">
                  <c:v>25.6</c:v>
                </c:pt>
                <c:pt idx="298">
                  <c:v>22.9</c:v>
                </c:pt>
                <c:pt idx="299">
                  <c:v>25.1</c:v>
                </c:pt>
                <c:pt idx="300">
                  <c:v>33.200000000000003</c:v>
                </c:pt>
                <c:pt idx="301">
                  <c:v>24.1</c:v>
                </c:pt>
                <c:pt idx="302">
                  <c:v>29.5</c:v>
                </c:pt>
                <c:pt idx="303">
                  <c:v>29.6</c:v>
                </c:pt>
                <c:pt idx="304">
                  <c:v>22.8</c:v>
                </c:pt>
                <c:pt idx="305">
                  <c:v>22.7</c:v>
                </c:pt>
                <c:pt idx="306">
                  <c:v>26.2</c:v>
                </c:pt>
                <c:pt idx="307">
                  <c:v>23.5</c:v>
                </c:pt>
                <c:pt idx="308">
                  <c:v>22.1</c:v>
                </c:pt>
                <c:pt idx="309">
                  <c:v>26.5</c:v>
                </c:pt>
                <c:pt idx="310">
                  <c:v>32.4</c:v>
                </c:pt>
                <c:pt idx="311">
                  <c:v>30.1</c:v>
                </c:pt>
                <c:pt idx="312">
                  <c:v>24.2</c:v>
                </c:pt>
                <c:pt idx="313">
                  <c:v>31.3</c:v>
                </c:pt>
                <c:pt idx="314">
                  <c:v>30.1</c:v>
                </c:pt>
                <c:pt idx="315">
                  <c:v>24.5</c:v>
                </c:pt>
                <c:pt idx="316">
                  <c:v>27.7</c:v>
                </c:pt>
                <c:pt idx="317">
                  <c:v>23.2</c:v>
                </c:pt>
                <c:pt idx="318">
                  <c:v>27</c:v>
                </c:pt>
                <c:pt idx="319">
                  <c:v>26.8</c:v>
                </c:pt>
                <c:pt idx="320">
                  <c:v>29.2</c:v>
                </c:pt>
                <c:pt idx="321">
                  <c:v>31.2</c:v>
                </c:pt>
                <c:pt idx="322">
                  <c:v>32.1</c:v>
                </c:pt>
                <c:pt idx="323">
                  <c:v>25.7</c:v>
                </c:pt>
                <c:pt idx="324">
                  <c:v>26.9</c:v>
                </c:pt>
                <c:pt idx="325">
                  <c:v>31.4</c:v>
                </c:pt>
                <c:pt idx="326">
                  <c:v>25.6</c:v>
                </c:pt>
                <c:pt idx="327">
                  <c:v>37</c:v>
                </c:pt>
                <c:pt idx="328">
                  <c:v>32.6</c:v>
                </c:pt>
                <c:pt idx="329">
                  <c:v>21.2</c:v>
                </c:pt>
                <c:pt idx="330">
                  <c:v>29.2</c:v>
                </c:pt>
                <c:pt idx="331">
                  <c:v>24</c:v>
                </c:pt>
                <c:pt idx="332">
                  <c:v>36.1</c:v>
                </c:pt>
                <c:pt idx="333">
                  <c:v>25.8</c:v>
                </c:pt>
                <c:pt idx="334">
                  <c:v>22</c:v>
                </c:pt>
                <c:pt idx="335">
                  <c:v>21.9</c:v>
                </c:pt>
                <c:pt idx="336">
                  <c:v>34.299999999999997</c:v>
                </c:pt>
                <c:pt idx="337">
                  <c:v>25.2</c:v>
                </c:pt>
                <c:pt idx="338">
                  <c:v>23.3</c:v>
                </c:pt>
                <c:pt idx="339">
                  <c:v>25.7</c:v>
                </c:pt>
                <c:pt idx="340">
                  <c:v>25.1</c:v>
                </c:pt>
                <c:pt idx="341">
                  <c:v>31.9</c:v>
                </c:pt>
                <c:pt idx="342">
                  <c:v>28.4</c:v>
                </c:pt>
                <c:pt idx="343">
                  <c:v>28.1</c:v>
                </c:pt>
                <c:pt idx="344">
                  <c:v>25.3</c:v>
                </c:pt>
                <c:pt idx="345">
                  <c:v>26.1</c:v>
                </c:pt>
                <c:pt idx="346">
                  <c:v>28</c:v>
                </c:pt>
                <c:pt idx="347">
                  <c:v>23.6</c:v>
                </c:pt>
                <c:pt idx="348">
                  <c:v>24.5</c:v>
                </c:pt>
                <c:pt idx="349">
                  <c:v>21</c:v>
                </c:pt>
                <c:pt idx="350">
                  <c:v>32</c:v>
                </c:pt>
                <c:pt idx="351">
                  <c:v>22.6</c:v>
                </c:pt>
                <c:pt idx="352">
                  <c:v>19.7</c:v>
                </c:pt>
                <c:pt idx="353">
                  <c:v>21.2</c:v>
                </c:pt>
                <c:pt idx="354">
                  <c:v>30.6</c:v>
                </c:pt>
                <c:pt idx="355">
                  <c:v>25.5</c:v>
                </c:pt>
                <c:pt idx="356">
                  <c:v>23.3</c:v>
                </c:pt>
                <c:pt idx="357">
                  <c:v>31</c:v>
                </c:pt>
                <c:pt idx="358">
                  <c:v>18.5</c:v>
                </c:pt>
                <c:pt idx="359">
                  <c:v>26.9</c:v>
                </c:pt>
                <c:pt idx="360">
                  <c:v>28.3</c:v>
                </c:pt>
                <c:pt idx="361">
                  <c:v>25.7</c:v>
                </c:pt>
                <c:pt idx="362">
                  <c:v>36.1</c:v>
                </c:pt>
                <c:pt idx="363">
                  <c:v>24.1</c:v>
                </c:pt>
                <c:pt idx="364">
                  <c:v>25.8</c:v>
                </c:pt>
                <c:pt idx="365">
                  <c:v>22.8</c:v>
                </c:pt>
                <c:pt idx="366">
                  <c:v>39.1</c:v>
                </c:pt>
                <c:pt idx="367">
                  <c:v>42.2</c:v>
                </c:pt>
                <c:pt idx="368">
                  <c:v>26.6</c:v>
                </c:pt>
                <c:pt idx="369">
                  <c:v>29.9</c:v>
                </c:pt>
                <c:pt idx="370">
                  <c:v>21</c:v>
                </c:pt>
                <c:pt idx="371">
                  <c:v>25.5</c:v>
                </c:pt>
                <c:pt idx="372">
                  <c:v>24.2</c:v>
                </c:pt>
                <c:pt idx="373">
                  <c:v>25.4</c:v>
                </c:pt>
                <c:pt idx="374">
                  <c:v>23.2</c:v>
                </c:pt>
                <c:pt idx="375">
                  <c:v>26.1</c:v>
                </c:pt>
                <c:pt idx="376">
                  <c:v>32.700000000000003</c:v>
                </c:pt>
                <c:pt idx="377">
                  <c:v>27.3</c:v>
                </c:pt>
                <c:pt idx="378">
                  <c:v>26.6</c:v>
                </c:pt>
                <c:pt idx="379">
                  <c:v>22.8</c:v>
                </c:pt>
                <c:pt idx="380">
                  <c:v>28.8</c:v>
                </c:pt>
                <c:pt idx="381">
                  <c:v>18.100000000000001</c:v>
                </c:pt>
                <c:pt idx="382">
                  <c:v>32</c:v>
                </c:pt>
                <c:pt idx="383">
                  <c:v>23.7</c:v>
                </c:pt>
                <c:pt idx="384">
                  <c:v>23.6</c:v>
                </c:pt>
                <c:pt idx="385">
                  <c:v>24.6</c:v>
                </c:pt>
                <c:pt idx="386">
                  <c:v>22.6</c:v>
                </c:pt>
                <c:pt idx="387">
                  <c:v>27.8</c:v>
                </c:pt>
                <c:pt idx="388">
                  <c:v>24.1</c:v>
                </c:pt>
                <c:pt idx="389">
                  <c:v>26.5</c:v>
                </c:pt>
                <c:pt idx="390">
                  <c:v>32.799999999999997</c:v>
                </c:pt>
                <c:pt idx="391">
                  <c:v>19.899999999999999</c:v>
                </c:pt>
                <c:pt idx="392">
                  <c:v>23.6</c:v>
                </c:pt>
                <c:pt idx="393">
                  <c:v>22.1</c:v>
                </c:pt>
                <c:pt idx="394">
                  <c:v>28.1</c:v>
                </c:pt>
                <c:pt idx="395">
                  <c:v>26.5</c:v>
                </c:pt>
                <c:pt idx="396">
                  <c:v>23.5</c:v>
                </c:pt>
                <c:pt idx="397">
                  <c:v>26</c:v>
                </c:pt>
                <c:pt idx="398">
                  <c:v>27.8</c:v>
                </c:pt>
                <c:pt idx="399">
                  <c:v>28.5</c:v>
                </c:pt>
                <c:pt idx="400">
                  <c:v>30.6</c:v>
                </c:pt>
                <c:pt idx="401">
                  <c:v>22.2</c:v>
                </c:pt>
                <c:pt idx="402">
                  <c:v>23.3</c:v>
                </c:pt>
                <c:pt idx="403">
                  <c:v>35.4</c:v>
                </c:pt>
                <c:pt idx="404">
                  <c:v>31.4</c:v>
                </c:pt>
                <c:pt idx="405">
                  <c:v>37.799999999999997</c:v>
                </c:pt>
                <c:pt idx="406">
                  <c:v>18.899999999999999</c:v>
                </c:pt>
                <c:pt idx="407">
                  <c:v>35</c:v>
                </c:pt>
                <c:pt idx="408">
                  <c:v>21.7</c:v>
                </c:pt>
                <c:pt idx="409">
                  <c:v>25.3</c:v>
                </c:pt>
                <c:pt idx="410">
                  <c:v>23.8</c:v>
                </c:pt>
                <c:pt idx="411">
                  <c:v>31.8</c:v>
                </c:pt>
                <c:pt idx="412">
                  <c:v>34.299999999999997</c:v>
                </c:pt>
                <c:pt idx="413">
                  <c:v>26.3</c:v>
                </c:pt>
                <c:pt idx="414">
                  <c:v>27</c:v>
                </c:pt>
                <c:pt idx="415">
                  <c:v>27.2</c:v>
                </c:pt>
                <c:pt idx="416">
                  <c:v>33.799999999999997</c:v>
                </c:pt>
                <c:pt idx="417">
                  <c:v>33</c:v>
                </c:pt>
                <c:pt idx="418">
                  <c:v>24.1</c:v>
                </c:pt>
                <c:pt idx="419">
                  <c:v>21.3</c:v>
                </c:pt>
                <c:pt idx="420">
                  <c:v>23</c:v>
                </c:pt>
                <c:pt idx="421">
                  <c:v>27.9</c:v>
                </c:pt>
                <c:pt idx="422">
                  <c:v>33.6</c:v>
                </c:pt>
                <c:pt idx="423">
                  <c:v>22.7</c:v>
                </c:pt>
                <c:pt idx="424">
                  <c:v>27.4</c:v>
                </c:pt>
                <c:pt idx="425">
                  <c:v>22.6</c:v>
                </c:pt>
                <c:pt idx="426">
                  <c:v>23.2</c:v>
                </c:pt>
                <c:pt idx="427">
                  <c:v>26.9</c:v>
                </c:pt>
                <c:pt idx="428">
                  <c:v>34.6</c:v>
                </c:pt>
                <c:pt idx="429">
                  <c:v>23.3</c:v>
                </c:pt>
                <c:pt idx="430">
                  <c:v>21.1</c:v>
                </c:pt>
                <c:pt idx="431">
                  <c:v>23.5</c:v>
                </c:pt>
                <c:pt idx="432">
                  <c:v>31.5</c:v>
                </c:pt>
                <c:pt idx="433">
                  <c:v>20.8</c:v>
                </c:pt>
                <c:pt idx="434">
                  <c:v>26.5</c:v>
                </c:pt>
                <c:pt idx="435">
                  <c:v>24.2</c:v>
                </c:pt>
                <c:pt idx="436">
                  <c:v>19.5</c:v>
                </c:pt>
                <c:pt idx="437">
                  <c:v>28.2</c:v>
                </c:pt>
                <c:pt idx="438">
                  <c:v>24.9</c:v>
                </c:pt>
                <c:pt idx="439">
                  <c:v>24.9</c:v>
                </c:pt>
                <c:pt idx="440">
                  <c:v>30</c:v>
                </c:pt>
                <c:pt idx="441">
                  <c:v>19.600000000000001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1E-4500-B407-748145458B08}"/>
            </c:ext>
          </c:extLst>
        </c:ser>
        <c:ser>
          <c:idx val="1"/>
          <c:order val="2"/>
          <c:tx>
            <c:strRef>
              <c:f>RawData!$D$1</c:f>
              <c:strCache>
                <c:ptCount val="1"/>
                <c:pt idx="0">
                  <c:v>BP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RawData!$D$2:$D$443</c:f>
              <c:numCache>
                <c:formatCode>General</c:formatCode>
                <c:ptCount val="442"/>
                <c:pt idx="0">
                  <c:v>101</c:v>
                </c:pt>
                <c:pt idx="1">
                  <c:v>87</c:v>
                </c:pt>
                <c:pt idx="2">
                  <c:v>93</c:v>
                </c:pt>
                <c:pt idx="3">
                  <c:v>84</c:v>
                </c:pt>
                <c:pt idx="4">
                  <c:v>101</c:v>
                </c:pt>
                <c:pt idx="5">
                  <c:v>89</c:v>
                </c:pt>
                <c:pt idx="6">
                  <c:v>90</c:v>
                </c:pt>
                <c:pt idx="7">
                  <c:v>114</c:v>
                </c:pt>
                <c:pt idx="8">
                  <c:v>83</c:v>
                </c:pt>
                <c:pt idx="9">
                  <c:v>85</c:v>
                </c:pt>
                <c:pt idx="10">
                  <c:v>97</c:v>
                </c:pt>
                <c:pt idx="11">
                  <c:v>85</c:v>
                </c:pt>
                <c:pt idx="12">
                  <c:v>92</c:v>
                </c:pt>
                <c:pt idx="13">
                  <c:v>97</c:v>
                </c:pt>
                <c:pt idx="14">
                  <c:v>91</c:v>
                </c:pt>
                <c:pt idx="15">
                  <c:v>118</c:v>
                </c:pt>
                <c:pt idx="16">
                  <c:v>109</c:v>
                </c:pt>
                <c:pt idx="17">
                  <c:v>111</c:v>
                </c:pt>
                <c:pt idx="18">
                  <c:v>84</c:v>
                </c:pt>
                <c:pt idx="19">
                  <c:v>83</c:v>
                </c:pt>
                <c:pt idx="20">
                  <c:v>82</c:v>
                </c:pt>
                <c:pt idx="21">
                  <c:v>95</c:v>
                </c:pt>
                <c:pt idx="22">
                  <c:v>92</c:v>
                </c:pt>
                <c:pt idx="23">
                  <c:v>103.67</c:v>
                </c:pt>
                <c:pt idx="24">
                  <c:v>88</c:v>
                </c:pt>
                <c:pt idx="25">
                  <c:v>83</c:v>
                </c:pt>
                <c:pt idx="26">
                  <c:v>87</c:v>
                </c:pt>
                <c:pt idx="27">
                  <c:v>83</c:v>
                </c:pt>
                <c:pt idx="28">
                  <c:v>73</c:v>
                </c:pt>
                <c:pt idx="29">
                  <c:v>113</c:v>
                </c:pt>
                <c:pt idx="30">
                  <c:v>89</c:v>
                </c:pt>
                <c:pt idx="31">
                  <c:v>71</c:v>
                </c:pt>
                <c:pt idx="32">
                  <c:v>103</c:v>
                </c:pt>
                <c:pt idx="33">
                  <c:v>94</c:v>
                </c:pt>
                <c:pt idx="34">
                  <c:v>78</c:v>
                </c:pt>
                <c:pt idx="35">
                  <c:v>80.33</c:v>
                </c:pt>
                <c:pt idx="36">
                  <c:v>110</c:v>
                </c:pt>
                <c:pt idx="37">
                  <c:v>78</c:v>
                </c:pt>
                <c:pt idx="38">
                  <c:v>123</c:v>
                </c:pt>
                <c:pt idx="39">
                  <c:v>73</c:v>
                </c:pt>
                <c:pt idx="40">
                  <c:v>101</c:v>
                </c:pt>
                <c:pt idx="41">
                  <c:v>63</c:v>
                </c:pt>
                <c:pt idx="42">
                  <c:v>90.33</c:v>
                </c:pt>
                <c:pt idx="43">
                  <c:v>74</c:v>
                </c:pt>
                <c:pt idx="44">
                  <c:v>97</c:v>
                </c:pt>
                <c:pt idx="45">
                  <c:v>104</c:v>
                </c:pt>
                <c:pt idx="46">
                  <c:v>85</c:v>
                </c:pt>
                <c:pt idx="47">
                  <c:v>78</c:v>
                </c:pt>
                <c:pt idx="48">
                  <c:v>98</c:v>
                </c:pt>
                <c:pt idx="49">
                  <c:v>93</c:v>
                </c:pt>
                <c:pt idx="50">
                  <c:v>99</c:v>
                </c:pt>
                <c:pt idx="51">
                  <c:v>103</c:v>
                </c:pt>
                <c:pt idx="52">
                  <c:v>93</c:v>
                </c:pt>
                <c:pt idx="53">
                  <c:v>115</c:v>
                </c:pt>
                <c:pt idx="54">
                  <c:v>97</c:v>
                </c:pt>
                <c:pt idx="55">
                  <c:v>84</c:v>
                </c:pt>
                <c:pt idx="56">
                  <c:v>87</c:v>
                </c:pt>
                <c:pt idx="57">
                  <c:v>80</c:v>
                </c:pt>
                <c:pt idx="58">
                  <c:v>105</c:v>
                </c:pt>
                <c:pt idx="59">
                  <c:v>98</c:v>
                </c:pt>
                <c:pt idx="60">
                  <c:v>83</c:v>
                </c:pt>
                <c:pt idx="61">
                  <c:v>79</c:v>
                </c:pt>
                <c:pt idx="62">
                  <c:v>83</c:v>
                </c:pt>
                <c:pt idx="63">
                  <c:v>77</c:v>
                </c:pt>
                <c:pt idx="64">
                  <c:v>83</c:v>
                </c:pt>
                <c:pt idx="65">
                  <c:v>112</c:v>
                </c:pt>
                <c:pt idx="66">
                  <c:v>85</c:v>
                </c:pt>
                <c:pt idx="67">
                  <c:v>89.67</c:v>
                </c:pt>
                <c:pt idx="68">
                  <c:v>83</c:v>
                </c:pt>
                <c:pt idx="69">
                  <c:v>93</c:v>
                </c:pt>
                <c:pt idx="70">
                  <c:v>91</c:v>
                </c:pt>
                <c:pt idx="71">
                  <c:v>131</c:v>
                </c:pt>
                <c:pt idx="72">
                  <c:v>91</c:v>
                </c:pt>
                <c:pt idx="73">
                  <c:v>94</c:v>
                </c:pt>
                <c:pt idx="74">
                  <c:v>111</c:v>
                </c:pt>
                <c:pt idx="75">
                  <c:v>87</c:v>
                </c:pt>
                <c:pt idx="76">
                  <c:v>115</c:v>
                </c:pt>
                <c:pt idx="77">
                  <c:v>73</c:v>
                </c:pt>
                <c:pt idx="78">
                  <c:v>88</c:v>
                </c:pt>
                <c:pt idx="79">
                  <c:v>87</c:v>
                </c:pt>
                <c:pt idx="80">
                  <c:v>107</c:v>
                </c:pt>
                <c:pt idx="81">
                  <c:v>86</c:v>
                </c:pt>
                <c:pt idx="82">
                  <c:v>87</c:v>
                </c:pt>
                <c:pt idx="83">
                  <c:v>81</c:v>
                </c:pt>
                <c:pt idx="84">
                  <c:v>65.33</c:v>
                </c:pt>
                <c:pt idx="85">
                  <c:v>95</c:v>
                </c:pt>
                <c:pt idx="86">
                  <c:v>83</c:v>
                </c:pt>
                <c:pt idx="87">
                  <c:v>98</c:v>
                </c:pt>
                <c:pt idx="88">
                  <c:v>75</c:v>
                </c:pt>
                <c:pt idx="89">
                  <c:v>89</c:v>
                </c:pt>
                <c:pt idx="90">
                  <c:v>83</c:v>
                </c:pt>
                <c:pt idx="91">
                  <c:v>79</c:v>
                </c:pt>
                <c:pt idx="92">
                  <c:v>123</c:v>
                </c:pt>
                <c:pt idx="93">
                  <c:v>65</c:v>
                </c:pt>
                <c:pt idx="94">
                  <c:v>91</c:v>
                </c:pt>
                <c:pt idx="95">
                  <c:v>71</c:v>
                </c:pt>
                <c:pt idx="96">
                  <c:v>109</c:v>
                </c:pt>
                <c:pt idx="97">
                  <c:v>87.33</c:v>
                </c:pt>
                <c:pt idx="98">
                  <c:v>91</c:v>
                </c:pt>
                <c:pt idx="99">
                  <c:v>98</c:v>
                </c:pt>
                <c:pt idx="100">
                  <c:v>88</c:v>
                </c:pt>
                <c:pt idx="101">
                  <c:v>113</c:v>
                </c:pt>
                <c:pt idx="102">
                  <c:v>90</c:v>
                </c:pt>
                <c:pt idx="103">
                  <c:v>98</c:v>
                </c:pt>
                <c:pt idx="104">
                  <c:v>94</c:v>
                </c:pt>
                <c:pt idx="105">
                  <c:v>83</c:v>
                </c:pt>
                <c:pt idx="106">
                  <c:v>82</c:v>
                </c:pt>
                <c:pt idx="107">
                  <c:v>78.67</c:v>
                </c:pt>
                <c:pt idx="108">
                  <c:v>103.33</c:v>
                </c:pt>
                <c:pt idx="109">
                  <c:v>95.33</c:v>
                </c:pt>
                <c:pt idx="110">
                  <c:v>88</c:v>
                </c:pt>
                <c:pt idx="111">
                  <c:v>87</c:v>
                </c:pt>
                <c:pt idx="112">
                  <c:v>87</c:v>
                </c:pt>
                <c:pt idx="113">
                  <c:v>113</c:v>
                </c:pt>
                <c:pt idx="114">
                  <c:v>113</c:v>
                </c:pt>
                <c:pt idx="115">
                  <c:v>93</c:v>
                </c:pt>
                <c:pt idx="116">
                  <c:v>115</c:v>
                </c:pt>
                <c:pt idx="117">
                  <c:v>120</c:v>
                </c:pt>
                <c:pt idx="118">
                  <c:v>102</c:v>
                </c:pt>
                <c:pt idx="119">
                  <c:v>94</c:v>
                </c:pt>
                <c:pt idx="120">
                  <c:v>98</c:v>
                </c:pt>
                <c:pt idx="121">
                  <c:v>101</c:v>
                </c:pt>
                <c:pt idx="122">
                  <c:v>101</c:v>
                </c:pt>
                <c:pt idx="123">
                  <c:v>94.33</c:v>
                </c:pt>
                <c:pt idx="124">
                  <c:v>97</c:v>
                </c:pt>
                <c:pt idx="125">
                  <c:v>94</c:v>
                </c:pt>
                <c:pt idx="126">
                  <c:v>87</c:v>
                </c:pt>
                <c:pt idx="127">
                  <c:v>91</c:v>
                </c:pt>
                <c:pt idx="128">
                  <c:v>87</c:v>
                </c:pt>
                <c:pt idx="129">
                  <c:v>96</c:v>
                </c:pt>
                <c:pt idx="130">
                  <c:v>125</c:v>
                </c:pt>
                <c:pt idx="131">
                  <c:v>75</c:v>
                </c:pt>
                <c:pt idx="132">
                  <c:v>92</c:v>
                </c:pt>
                <c:pt idx="133">
                  <c:v>83</c:v>
                </c:pt>
                <c:pt idx="134">
                  <c:v>85</c:v>
                </c:pt>
                <c:pt idx="135">
                  <c:v>84</c:v>
                </c:pt>
                <c:pt idx="136">
                  <c:v>78</c:v>
                </c:pt>
                <c:pt idx="137">
                  <c:v>123</c:v>
                </c:pt>
                <c:pt idx="138">
                  <c:v>117</c:v>
                </c:pt>
                <c:pt idx="139">
                  <c:v>110</c:v>
                </c:pt>
                <c:pt idx="140">
                  <c:v>107</c:v>
                </c:pt>
                <c:pt idx="141">
                  <c:v>81</c:v>
                </c:pt>
                <c:pt idx="142">
                  <c:v>106</c:v>
                </c:pt>
                <c:pt idx="143">
                  <c:v>92</c:v>
                </c:pt>
                <c:pt idx="144">
                  <c:v>90</c:v>
                </c:pt>
                <c:pt idx="145">
                  <c:v>113</c:v>
                </c:pt>
                <c:pt idx="146">
                  <c:v>95</c:v>
                </c:pt>
                <c:pt idx="147">
                  <c:v>89</c:v>
                </c:pt>
                <c:pt idx="148">
                  <c:v>89</c:v>
                </c:pt>
                <c:pt idx="149">
                  <c:v>81</c:v>
                </c:pt>
                <c:pt idx="150">
                  <c:v>102</c:v>
                </c:pt>
                <c:pt idx="151">
                  <c:v>93</c:v>
                </c:pt>
                <c:pt idx="152">
                  <c:v>115</c:v>
                </c:pt>
                <c:pt idx="153">
                  <c:v>113</c:v>
                </c:pt>
                <c:pt idx="154">
                  <c:v>93</c:v>
                </c:pt>
                <c:pt idx="155">
                  <c:v>109</c:v>
                </c:pt>
                <c:pt idx="156">
                  <c:v>95</c:v>
                </c:pt>
                <c:pt idx="157">
                  <c:v>89.33</c:v>
                </c:pt>
                <c:pt idx="158">
                  <c:v>74.33</c:v>
                </c:pt>
                <c:pt idx="159">
                  <c:v>120</c:v>
                </c:pt>
                <c:pt idx="160">
                  <c:v>73</c:v>
                </c:pt>
                <c:pt idx="161">
                  <c:v>115</c:v>
                </c:pt>
                <c:pt idx="162">
                  <c:v>73</c:v>
                </c:pt>
                <c:pt idx="163">
                  <c:v>117</c:v>
                </c:pt>
                <c:pt idx="164">
                  <c:v>101</c:v>
                </c:pt>
                <c:pt idx="165">
                  <c:v>81</c:v>
                </c:pt>
                <c:pt idx="166">
                  <c:v>84</c:v>
                </c:pt>
                <c:pt idx="167">
                  <c:v>105.67</c:v>
                </c:pt>
                <c:pt idx="168">
                  <c:v>94</c:v>
                </c:pt>
                <c:pt idx="169">
                  <c:v>109</c:v>
                </c:pt>
                <c:pt idx="170">
                  <c:v>84</c:v>
                </c:pt>
                <c:pt idx="171">
                  <c:v>66</c:v>
                </c:pt>
                <c:pt idx="172">
                  <c:v>97</c:v>
                </c:pt>
                <c:pt idx="173">
                  <c:v>93</c:v>
                </c:pt>
                <c:pt idx="174">
                  <c:v>82</c:v>
                </c:pt>
                <c:pt idx="175">
                  <c:v>87</c:v>
                </c:pt>
                <c:pt idx="176">
                  <c:v>106</c:v>
                </c:pt>
                <c:pt idx="177">
                  <c:v>87.33</c:v>
                </c:pt>
                <c:pt idx="178">
                  <c:v>87</c:v>
                </c:pt>
                <c:pt idx="179">
                  <c:v>91</c:v>
                </c:pt>
                <c:pt idx="180">
                  <c:v>105</c:v>
                </c:pt>
                <c:pt idx="181">
                  <c:v>79</c:v>
                </c:pt>
                <c:pt idx="182">
                  <c:v>111</c:v>
                </c:pt>
                <c:pt idx="183">
                  <c:v>113</c:v>
                </c:pt>
                <c:pt idx="184">
                  <c:v>88</c:v>
                </c:pt>
                <c:pt idx="185">
                  <c:v>97</c:v>
                </c:pt>
                <c:pt idx="186">
                  <c:v>89</c:v>
                </c:pt>
                <c:pt idx="187">
                  <c:v>87</c:v>
                </c:pt>
                <c:pt idx="188">
                  <c:v>109</c:v>
                </c:pt>
                <c:pt idx="189">
                  <c:v>95</c:v>
                </c:pt>
                <c:pt idx="190">
                  <c:v>103</c:v>
                </c:pt>
                <c:pt idx="191">
                  <c:v>82</c:v>
                </c:pt>
                <c:pt idx="192">
                  <c:v>97</c:v>
                </c:pt>
                <c:pt idx="193">
                  <c:v>76</c:v>
                </c:pt>
                <c:pt idx="194">
                  <c:v>104</c:v>
                </c:pt>
                <c:pt idx="195">
                  <c:v>99</c:v>
                </c:pt>
                <c:pt idx="196">
                  <c:v>85</c:v>
                </c:pt>
                <c:pt idx="197">
                  <c:v>115</c:v>
                </c:pt>
                <c:pt idx="198">
                  <c:v>87</c:v>
                </c:pt>
                <c:pt idx="199">
                  <c:v>104.67</c:v>
                </c:pt>
                <c:pt idx="200">
                  <c:v>92.33</c:v>
                </c:pt>
                <c:pt idx="201">
                  <c:v>90</c:v>
                </c:pt>
                <c:pt idx="202">
                  <c:v>105</c:v>
                </c:pt>
                <c:pt idx="203">
                  <c:v>110</c:v>
                </c:pt>
                <c:pt idx="204">
                  <c:v>103</c:v>
                </c:pt>
                <c:pt idx="205">
                  <c:v>99</c:v>
                </c:pt>
                <c:pt idx="206">
                  <c:v>92</c:v>
                </c:pt>
                <c:pt idx="207">
                  <c:v>103</c:v>
                </c:pt>
                <c:pt idx="208">
                  <c:v>117</c:v>
                </c:pt>
                <c:pt idx="209">
                  <c:v>114</c:v>
                </c:pt>
                <c:pt idx="210">
                  <c:v>99</c:v>
                </c:pt>
                <c:pt idx="211">
                  <c:v>101</c:v>
                </c:pt>
                <c:pt idx="212">
                  <c:v>105</c:v>
                </c:pt>
                <c:pt idx="213">
                  <c:v>88</c:v>
                </c:pt>
                <c:pt idx="214">
                  <c:v>88</c:v>
                </c:pt>
                <c:pt idx="215">
                  <c:v>123</c:v>
                </c:pt>
                <c:pt idx="216">
                  <c:v>109</c:v>
                </c:pt>
                <c:pt idx="217">
                  <c:v>124</c:v>
                </c:pt>
                <c:pt idx="218">
                  <c:v>83</c:v>
                </c:pt>
                <c:pt idx="219">
                  <c:v>89</c:v>
                </c:pt>
                <c:pt idx="220">
                  <c:v>93</c:v>
                </c:pt>
                <c:pt idx="221">
                  <c:v>87</c:v>
                </c:pt>
                <c:pt idx="222">
                  <c:v>107</c:v>
                </c:pt>
                <c:pt idx="223">
                  <c:v>76</c:v>
                </c:pt>
                <c:pt idx="224">
                  <c:v>62</c:v>
                </c:pt>
                <c:pt idx="225">
                  <c:v>109</c:v>
                </c:pt>
                <c:pt idx="226">
                  <c:v>87</c:v>
                </c:pt>
                <c:pt idx="227">
                  <c:v>111.33</c:v>
                </c:pt>
                <c:pt idx="228">
                  <c:v>77</c:v>
                </c:pt>
                <c:pt idx="229">
                  <c:v>86</c:v>
                </c:pt>
                <c:pt idx="230">
                  <c:v>78</c:v>
                </c:pt>
                <c:pt idx="231">
                  <c:v>101</c:v>
                </c:pt>
                <c:pt idx="232">
                  <c:v>91.33</c:v>
                </c:pt>
                <c:pt idx="233">
                  <c:v>80</c:v>
                </c:pt>
                <c:pt idx="234">
                  <c:v>108</c:v>
                </c:pt>
                <c:pt idx="235">
                  <c:v>111.67</c:v>
                </c:pt>
                <c:pt idx="236">
                  <c:v>105</c:v>
                </c:pt>
                <c:pt idx="237">
                  <c:v>74.67</c:v>
                </c:pt>
                <c:pt idx="238">
                  <c:v>112</c:v>
                </c:pt>
                <c:pt idx="239">
                  <c:v>91</c:v>
                </c:pt>
                <c:pt idx="240">
                  <c:v>114</c:v>
                </c:pt>
                <c:pt idx="241">
                  <c:v>96</c:v>
                </c:pt>
                <c:pt idx="242">
                  <c:v>88</c:v>
                </c:pt>
                <c:pt idx="243">
                  <c:v>98</c:v>
                </c:pt>
                <c:pt idx="244">
                  <c:v>89</c:v>
                </c:pt>
                <c:pt idx="245">
                  <c:v>86</c:v>
                </c:pt>
                <c:pt idx="246">
                  <c:v>76.67</c:v>
                </c:pt>
                <c:pt idx="247">
                  <c:v>83</c:v>
                </c:pt>
                <c:pt idx="248">
                  <c:v>112</c:v>
                </c:pt>
                <c:pt idx="249">
                  <c:v>110</c:v>
                </c:pt>
                <c:pt idx="250">
                  <c:v>116</c:v>
                </c:pt>
                <c:pt idx="251">
                  <c:v>120</c:v>
                </c:pt>
                <c:pt idx="252">
                  <c:v>78.33</c:v>
                </c:pt>
                <c:pt idx="253">
                  <c:v>97</c:v>
                </c:pt>
                <c:pt idx="254">
                  <c:v>117</c:v>
                </c:pt>
                <c:pt idx="255">
                  <c:v>93</c:v>
                </c:pt>
                <c:pt idx="256">
                  <c:v>81</c:v>
                </c:pt>
                <c:pt idx="257">
                  <c:v>102</c:v>
                </c:pt>
                <c:pt idx="258">
                  <c:v>82.33</c:v>
                </c:pt>
                <c:pt idx="259">
                  <c:v>107</c:v>
                </c:pt>
                <c:pt idx="260">
                  <c:v>78</c:v>
                </c:pt>
                <c:pt idx="261">
                  <c:v>125</c:v>
                </c:pt>
                <c:pt idx="262">
                  <c:v>123</c:v>
                </c:pt>
                <c:pt idx="263">
                  <c:v>81</c:v>
                </c:pt>
                <c:pt idx="264">
                  <c:v>85</c:v>
                </c:pt>
                <c:pt idx="265">
                  <c:v>89.67</c:v>
                </c:pt>
                <c:pt idx="266">
                  <c:v>98</c:v>
                </c:pt>
                <c:pt idx="267">
                  <c:v>70</c:v>
                </c:pt>
                <c:pt idx="268">
                  <c:v>115</c:v>
                </c:pt>
                <c:pt idx="269">
                  <c:v>87</c:v>
                </c:pt>
                <c:pt idx="270">
                  <c:v>119</c:v>
                </c:pt>
                <c:pt idx="271">
                  <c:v>107</c:v>
                </c:pt>
                <c:pt idx="272">
                  <c:v>78.33</c:v>
                </c:pt>
                <c:pt idx="273">
                  <c:v>108</c:v>
                </c:pt>
                <c:pt idx="274">
                  <c:v>105</c:v>
                </c:pt>
                <c:pt idx="275">
                  <c:v>98</c:v>
                </c:pt>
                <c:pt idx="276">
                  <c:v>113</c:v>
                </c:pt>
                <c:pt idx="277">
                  <c:v>95</c:v>
                </c:pt>
                <c:pt idx="278">
                  <c:v>70</c:v>
                </c:pt>
                <c:pt idx="279">
                  <c:v>96</c:v>
                </c:pt>
                <c:pt idx="280">
                  <c:v>106</c:v>
                </c:pt>
                <c:pt idx="281">
                  <c:v>78</c:v>
                </c:pt>
                <c:pt idx="282">
                  <c:v>93</c:v>
                </c:pt>
                <c:pt idx="283">
                  <c:v>85</c:v>
                </c:pt>
                <c:pt idx="284">
                  <c:v>103</c:v>
                </c:pt>
                <c:pt idx="285">
                  <c:v>90</c:v>
                </c:pt>
                <c:pt idx="286">
                  <c:v>72</c:v>
                </c:pt>
                <c:pt idx="287">
                  <c:v>90</c:v>
                </c:pt>
                <c:pt idx="288">
                  <c:v>101</c:v>
                </c:pt>
                <c:pt idx="289">
                  <c:v>83</c:v>
                </c:pt>
                <c:pt idx="290">
                  <c:v>102</c:v>
                </c:pt>
                <c:pt idx="291">
                  <c:v>113</c:v>
                </c:pt>
                <c:pt idx="292">
                  <c:v>85.33</c:v>
                </c:pt>
                <c:pt idx="293">
                  <c:v>98.33</c:v>
                </c:pt>
                <c:pt idx="294">
                  <c:v>93</c:v>
                </c:pt>
                <c:pt idx="295">
                  <c:v>83</c:v>
                </c:pt>
                <c:pt idx="296">
                  <c:v>83</c:v>
                </c:pt>
                <c:pt idx="297">
                  <c:v>76</c:v>
                </c:pt>
                <c:pt idx="298">
                  <c:v>81</c:v>
                </c:pt>
                <c:pt idx="299">
                  <c:v>90</c:v>
                </c:pt>
                <c:pt idx="300">
                  <c:v>82.67</c:v>
                </c:pt>
                <c:pt idx="301">
                  <c:v>110</c:v>
                </c:pt>
                <c:pt idx="302">
                  <c:v>104.33</c:v>
                </c:pt>
                <c:pt idx="303">
                  <c:v>122</c:v>
                </c:pt>
                <c:pt idx="304">
                  <c:v>110</c:v>
                </c:pt>
                <c:pt idx="305">
                  <c:v>83</c:v>
                </c:pt>
                <c:pt idx="306">
                  <c:v>101</c:v>
                </c:pt>
                <c:pt idx="307">
                  <c:v>96</c:v>
                </c:pt>
                <c:pt idx="308">
                  <c:v>85</c:v>
                </c:pt>
                <c:pt idx="309">
                  <c:v>94</c:v>
                </c:pt>
                <c:pt idx="310">
                  <c:v>105</c:v>
                </c:pt>
                <c:pt idx="311">
                  <c:v>78</c:v>
                </c:pt>
                <c:pt idx="312">
                  <c:v>93</c:v>
                </c:pt>
                <c:pt idx="313">
                  <c:v>110</c:v>
                </c:pt>
                <c:pt idx="314">
                  <c:v>91</c:v>
                </c:pt>
                <c:pt idx="315">
                  <c:v>79</c:v>
                </c:pt>
                <c:pt idx="316">
                  <c:v>95</c:v>
                </c:pt>
                <c:pt idx="317">
                  <c:v>110.67</c:v>
                </c:pt>
                <c:pt idx="318">
                  <c:v>102</c:v>
                </c:pt>
                <c:pt idx="319">
                  <c:v>108</c:v>
                </c:pt>
                <c:pt idx="320">
                  <c:v>93</c:v>
                </c:pt>
                <c:pt idx="321">
                  <c:v>117.67</c:v>
                </c:pt>
                <c:pt idx="322">
                  <c:v>112.67</c:v>
                </c:pt>
                <c:pt idx="323">
                  <c:v>109</c:v>
                </c:pt>
                <c:pt idx="324">
                  <c:v>98</c:v>
                </c:pt>
                <c:pt idx="325">
                  <c:v>75.33</c:v>
                </c:pt>
                <c:pt idx="326">
                  <c:v>85</c:v>
                </c:pt>
                <c:pt idx="327">
                  <c:v>103</c:v>
                </c:pt>
                <c:pt idx="328">
                  <c:v>77</c:v>
                </c:pt>
                <c:pt idx="329">
                  <c:v>94</c:v>
                </c:pt>
                <c:pt idx="330">
                  <c:v>107</c:v>
                </c:pt>
                <c:pt idx="331">
                  <c:v>84</c:v>
                </c:pt>
                <c:pt idx="332">
                  <c:v>117</c:v>
                </c:pt>
                <c:pt idx="333">
                  <c:v>103</c:v>
                </c:pt>
                <c:pt idx="334">
                  <c:v>88</c:v>
                </c:pt>
                <c:pt idx="335">
                  <c:v>91</c:v>
                </c:pt>
                <c:pt idx="336">
                  <c:v>84</c:v>
                </c:pt>
                <c:pt idx="337">
                  <c:v>115</c:v>
                </c:pt>
                <c:pt idx="338">
                  <c:v>85</c:v>
                </c:pt>
                <c:pt idx="339">
                  <c:v>80</c:v>
                </c:pt>
                <c:pt idx="340">
                  <c:v>133</c:v>
                </c:pt>
                <c:pt idx="341">
                  <c:v>111</c:v>
                </c:pt>
                <c:pt idx="342">
                  <c:v>111</c:v>
                </c:pt>
                <c:pt idx="343">
                  <c:v>121</c:v>
                </c:pt>
                <c:pt idx="344">
                  <c:v>83</c:v>
                </c:pt>
                <c:pt idx="345">
                  <c:v>85</c:v>
                </c:pt>
                <c:pt idx="346">
                  <c:v>104</c:v>
                </c:pt>
                <c:pt idx="347">
                  <c:v>73</c:v>
                </c:pt>
                <c:pt idx="348">
                  <c:v>93</c:v>
                </c:pt>
                <c:pt idx="349">
                  <c:v>82</c:v>
                </c:pt>
                <c:pt idx="350">
                  <c:v>126</c:v>
                </c:pt>
                <c:pt idx="351">
                  <c:v>85</c:v>
                </c:pt>
                <c:pt idx="352">
                  <c:v>81</c:v>
                </c:pt>
                <c:pt idx="353">
                  <c:v>84</c:v>
                </c:pt>
                <c:pt idx="354">
                  <c:v>101</c:v>
                </c:pt>
                <c:pt idx="355">
                  <c:v>99</c:v>
                </c:pt>
                <c:pt idx="356">
                  <c:v>90</c:v>
                </c:pt>
                <c:pt idx="357">
                  <c:v>100</c:v>
                </c:pt>
                <c:pt idx="358">
                  <c:v>87</c:v>
                </c:pt>
                <c:pt idx="359">
                  <c:v>104</c:v>
                </c:pt>
                <c:pt idx="360">
                  <c:v>101</c:v>
                </c:pt>
                <c:pt idx="361">
                  <c:v>103</c:v>
                </c:pt>
                <c:pt idx="362">
                  <c:v>115</c:v>
                </c:pt>
                <c:pt idx="363">
                  <c:v>94.67</c:v>
                </c:pt>
                <c:pt idx="364">
                  <c:v>89</c:v>
                </c:pt>
                <c:pt idx="365">
                  <c:v>91</c:v>
                </c:pt>
                <c:pt idx="366">
                  <c:v>90</c:v>
                </c:pt>
                <c:pt idx="367">
                  <c:v>99</c:v>
                </c:pt>
                <c:pt idx="368">
                  <c:v>99</c:v>
                </c:pt>
                <c:pt idx="369">
                  <c:v>83</c:v>
                </c:pt>
                <c:pt idx="370">
                  <c:v>78</c:v>
                </c:pt>
                <c:pt idx="371">
                  <c:v>109</c:v>
                </c:pt>
                <c:pt idx="372">
                  <c:v>90</c:v>
                </c:pt>
                <c:pt idx="373">
                  <c:v>93</c:v>
                </c:pt>
                <c:pt idx="374">
                  <c:v>75</c:v>
                </c:pt>
                <c:pt idx="375">
                  <c:v>126</c:v>
                </c:pt>
                <c:pt idx="376">
                  <c:v>93</c:v>
                </c:pt>
                <c:pt idx="377">
                  <c:v>100</c:v>
                </c:pt>
                <c:pt idx="378">
                  <c:v>93</c:v>
                </c:pt>
                <c:pt idx="379">
                  <c:v>101</c:v>
                </c:pt>
                <c:pt idx="380">
                  <c:v>111.67</c:v>
                </c:pt>
                <c:pt idx="381">
                  <c:v>73</c:v>
                </c:pt>
                <c:pt idx="382">
                  <c:v>88</c:v>
                </c:pt>
                <c:pt idx="383">
                  <c:v>92</c:v>
                </c:pt>
                <c:pt idx="384">
                  <c:v>96</c:v>
                </c:pt>
                <c:pt idx="385">
                  <c:v>109</c:v>
                </c:pt>
                <c:pt idx="386">
                  <c:v>90</c:v>
                </c:pt>
                <c:pt idx="387">
                  <c:v>73</c:v>
                </c:pt>
                <c:pt idx="388">
                  <c:v>111</c:v>
                </c:pt>
                <c:pt idx="389">
                  <c:v>70</c:v>
                </c:pt>
                <c:pt idx="390">
                  <c:v>112</c:v>
                </c:pt>
                <c:pt idx="391">
                  <c:v>76</c:v>
                </c:pt>
                <c:pt idx="392">
                  <c:v>94</c:v>
                </c:pt>
                <c:pt idx="393">
                  <c:v>82</c:v>
                </c:pt>
                <c:pt idx="394">
                  <c:v>111</c:v>
                </c:pt>
                <c:pt idx="395">
                  <c:v>86</c:v>
                </c:pt>
                <c:pt idx="396">
                  <c:v>88</c:v>
                </c:pt>
                <c:pt idx="397">
                  <c:v>85.67</c:v>
                </c:pt>
                <c:pt idx="398">
                  <c:v>85</c:v>
                </c:pt>
                <c:pt idx="399">
                  <c:v>109</c:v>
                </c:pt>
                <c:pt idx="400">
                  <c:v>121</c:v>
                </c:pt>
                <c:pt idx="401">
                  <c:v>78</c:v>
                </c:pt>
                <c:pt idx="402">
                  <c:v>88</c:v>
                </c:pt>
                <c:pt idx="403">
                  <c:v>93</c:v>
                </c:pt>
                <c:pt idx="404">
                  <c:v>115</c:v>
                </c:pt>
                <c:pt idx="405">
                  <c:v>119</c:v>
                </c:pt>
                <c:pt idx="406">
                  <c:v>70</c:v>
                </c:pt>
                <c:pt idx="407">
                  <c:v>79.33</c:v>
                </c:pt>
                <c:pt idx="408">
                  <c:v>126</c:v>
                </c:pt>
                <c:pt idx="409">
                  <c:v>111</c:v>
                </c:pt>
                <c:pt idx="410">
                  <c:v>97</c:v>
                </c:pt>
                <c:pt idx="411">
                  <c:v>82</c:v>
                </c:pt>
                <c:pt idx="412">
                  <c:v>113</c:v>
                </c:pt>
                <c:pt idx="413">
                  <c:v>87</c:v>
                </c:pt>
                <c:pt idx="414">
                  <c:v>93.33</c:v>
                </c:pt>
                <c:pt idx="415">
                  <c:v>80</c:v>
                </c:pt>
                <c:pt idx="416">
                  <c:v>123.33</c:v>
                </c:pt>
                <c:pt idx="417">
                  <c:v>73</c:v>
                </c:pt>
                <c:pt idx="418">
                  <c:v>87</c:v>
                </c:pt>
                <c:pt idx="419">
                  <c:v>79</c:v>
                </c:pt>
                <c:pt idx="420">
                  <c:v>94.67</c:v>
                </c:pt>
                <c:pt idx="421">
                  <c:v>101</c:v>
                </c:pt>
                <c:pt idx="422">
                  <c:v>110</c:v>
                </c:pt>
                <c:pt idx="423">
                  <c:v>103</c:v>
                </c:pt>
                <c:pt idx="424">
                  <c:v>89</c:v>
                </c:pt>
                <c:pt idx="425">
                  <c:v>71</c:v>
                </c:pt>
                <c:pt idx="426">
                  <c:v>107.33</c:v>
                </c:pt>
                <c:pt idx="427">
                  <c:v>93</c:v>
                </c:pt>
                <c:pt idx="428">
                  <c:v>120</c:v>
                </c:pt>
                <c:pt idx="429">
                  <c:v>88</c:v>
                </c:pt>
                <c:pt idx="430">
                  <c:v>80</c:v>
                </c:pt>
                <c:pt idx="431">
                  <c:v>101</c:v>
                </c:pt>
                <c:pt idx="432">
                  <c:v>93</c:v>
                </c:pt>
                <c:pt idx="433">
                  <c:v>86</c:v>
                </c:pt>
                <c:pt idx="434">
                  <c:v>97</c:v>
                </c:pt>
                <c:pt idx="435">
                  <c:v>83</c:v>
                </c:pt>
                <c:pt idx="436">
                  <c:v>80</c:v>
                </c:pt>
                <c:pt idx="437">
                  <c:v>112</c:v>
                </c:pt>
                <c:pt idx="438">
                  <c:v>75</c:v>
                </c:pt>
                <c:pt idx="439">
                  <c:v>99.67</c:v>
                </c:pt>
                <c:pt idx="440">
                  <c:v>95</c:v>
                </c:pt>
                <c:pt idx="441">
                  <c:v>71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1E-4500-B407-748145458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544272"/>
        <c:axId val="798545256"/>
      </c:scatterChart>
      <c:valAx>
        <c:axId val="79854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Age/BMI/BP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5256"/>
        <c:crosses val="autoZero"/>
        <c:crossBetween val="midCat"/>
      </c:valAx>
      <c:valAx>
        <c:axId val="7985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Age-BMI-BP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9"/>
          <c:order val="0"/>
          <c:tx>
            <c:strRef>
              <c:f>RawData!$A$1</c:f>
              <c:strCache>
                <c:ptCount val="1"/>
                <c:pt idx="0">
                  <c:v>AGE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RawData!$A$2:$A$443</c:f>
              <c:numCache>
                <c:formatCode>General</c:formatCode>
                <c:ptCount val="442"/>
                <c:pt idx="0">
                  <c:v>59</c:v>
                </c:pt>
                <c:pt idx="1">
                  <c:v>48</c:v>
                </c:pt>
                <c:pt idx="2">
                  <c:v>72</c:v>
                </c:pt>
                <c:pt idx="3">
                  <c:v>24</c:v>
                </c:pt>
                <c:pt idx="4">
                  <c:v>50</c:v>
                </c:pt>
                <c:pt idx="5">
                  <c:v>23</c:v>
                </c:pt>
                <c:pt idx="6">
                  <c:v>36</c:v>
                </c:pt>
                <c:pt idx="7">
                  <c:v>66</c:v>
                </c:pt>
                <c:pt idx="8">
                  <c:v>60</c:v>
                </c:pt>
                <c:pt idx="9">
                  <c:v>29</c:v>
                </c:pt>
                <c:pt idx="10">
                  <c:v>22</c:v>
                </c:pt>
                <c:pt idx="11">
                  <c:v>56</c:v>
                </c:pt>
                <c:pt idx="12">
                  <c:v>53</c:v>
                </c:pt>
                <c:pt idx="13">
                  <c:v>50</c:v>
                </c:pt>
                <c:pt idx="14">
                  <c:v>61</c:v>
                </c:pt>
                <c:pt idx="15">
                  <c:v>34</c:v>
                </c:pt>
                <c:pt idx="16">
                  <c:v>47</c:v>
                </c:pt>
                <c:pt idx="17">
                  <c:v>68</c:v>
                </c:pt>
                <c:pt idx="18">
                  <c:v>38</c:v>
                </c:pt>
                <c:pt idx="19">
                  <c:v>41</c:v>
                </c:pt>
                <c:pt idx="20">
                  <c:v>35</c:v>
                </c:pt>
                <c:pt idx="21">
                  <c:v>25</c:v>
                </c:pt>
                <c:pt idx="22">
                  <c:v>25</c:v>
                </c:pt>
                <c:pt idx="23">
                  <c:v>61</c:v>
                </c:pt>
                <c:pt idx="24">
                  <c:v>31</c:v>
                </c:pt>
                <c:pt idx="25">
                  <c:v>30</c:v>
                </c:pt>
                <c:pt idx="26">
                  <c:v>19</c:v>
                </c:pt>
                <c:pt idx="27">
                  <c:v>42</c:v>
                </c:pt>
                <c:pt idx="28">
                  <c:v>63</c:v>
                </c:pt>
                <c:pt idx="29">
                  <c:v>67</c:v>
                </c:pt>
                <c:pt idx="30">
                  <c:v>32</c:v>
                </c:pt>
                <c:pt idx="31">
                  <c:v>42</c:v>
                </c:pt>
                <c:pt idx="32">
                  <c:v>58</c:v>
                </c:pt>
                <c:pt idx="33">
                  <c:v>57</c:v>
                </c:pt>
                <c:pt idx="34">
                  <c:v>53</c:v>
                </c:pt>
                <c:pt idx="35">
                  <c:v>62</c:v>
                </c:pt>
                <c:pt idx="36">
                  <c:v>52</c:v>
                </c:pt>
                <c:pt idx="37">
                  <c:v>46</c:v>
                </c:pt>
                <c:pt idx="38">
                  <c:v>48</c:v>
                </c:pt>
                <c:pt idx="39">
                  <c:v>48</c:v>
                </c:pt>
                <c:pt idx="40">
                  <c:v>50</c:v>
                </c:pt>
                <c:pt idx="41">
                  <c:v>21</c:v>
                </c:pt>
                <c:pt idx="42">
                  <c:v>32</c:v>
                </c:pt>
                <c:pt idx="43">
                  <c:v>54</c:v>
                </c:pt>
                <c:pt idx="44">
                  <c:v>61</c:v>
                </c:pt>
                <c:pt idx="45">
                  <c:v>56</c:v>
                </c:pt>
                <c:pt idx="46">
                  <c:v>33</c:v>
                </c:pt>
                <c:pt idx="47">
                  <c:v>27</c:v>
                </c:pt>
                <c:pt idx="48">
                  <c:v>67</c:v>
                </c:pt>
                <c:pt idx="49">
                  <c:v>37</c:v>
                </c:pt>
                <c:pt idx="50">
                  <c:v>58</c:v>
                </c:pt>
                <c:pt idx="51">
                  <c:v>65</c:v>
                </c:pt>
                <c:pt idx="52">
                  <c:v>34</c:v>
                </c:pt>
                <c:pt idx="53">
                  <c:v>46</c:v>
                </c:pt>
                <c:pt idx="54">
                  <c:v>35</c:v>
                </c:pt>
                <c:pt idx="55">
                  <c:v>37</c:v>
                </c:pt>
                <c:pt idx="56">
                  <c:v>37</c:v>
                </c:pt>
                <c:pt idx="57">
                  <c:v>41</c:v>
                </c:pt>
                <c:pt idx="58">
                  <c:v>60</c:v>
                </c:pt>
                <c:pt idx="59">
                  <c:v>66</c:v>
                </c:pt>
                <c:pt idx="60">
                  <c:v>29</c:v>
                </c:pt>
                <c:pt idx="61">
                  <c:v>37</c:v>
                </c:pt>
                <c:pt idx="62">
                  <c:v>41</c:v>
                </c:pt>
                <c:pt idx="63">
                  <c:v>39</c:v>
                </c:pt>
                <c:pt idx="64">
                  <c:v>67</c:v>
                </c:pt>
                <c:pt idx="65">
                  <c:v>36</c:v>
                </c:pt>
                <c:pt idx="66">
                  <c:v>46</c:v>
                </c:pt>
                <c:pt idx="67">
                  <c:v>60</c:v>
                </c:pt>
                <c:pt idx="68">
                  <c:v>59</c:v>
                </c:pt>
                <c:pt idx="69">
                  <c:v>53</c:v>
                </c:pt>
                <c:pt idx="70">
                  <c:v>48</c:v>
                </c:pt>
                <c:pt idx="71">
                  <c:v>48</c:v>
                </c:pt>
                <c:pt idx="72">
                  <c:v>66</c:v>
                </c:pt>
                <c:pt idx="73">
                  <c:v>52</c:v>
                </c:pt>
                <c:pt idx="74">
                  <c:v>52</c:v>
                </c:pt>
                <c:pt idx="75">
                  <c:v>46</c:v>
                </c:pt>
                <c:pt idx="76">
                  <c:v>40</c:v>
                </c:pt>
                <c:pt idx="77">
                  <c:v>22</c:v>
                </c:pt>
                <c:pt idx="78">
                  <c:v>50</c:v>
                </c:pt>
                <c:pt idx="79">
                  <c:v>20</c:v>
                </c:pt>
                <c:pt idx="80">
                  <c:v>68</c:v>
                </c:pt>
                <c:pt idx="81">
                  <c:v>52</c:v>
                </c:pt>
                <c:pt idx="82">
                  <c:v>44</c:v>
                </c:pt>
                <c:pt idx="83">
                  <c:v>38</c:v>
                </c:pt>
                <c:pt idx="84">
                  <c:v>49</c:v>
                </c:pt>
                <c:pt idx="85">
                  <c:v>61</c:v>
                </c:pt>
                <c:pt idx="86">
                  <c:v>29</c:v>
                </c:pt>
                <c:pt idx="87">
                  <c:v>61</c:v>
                </c:pt>
                <c:pt idx="88">
                  <c:v>34</c:v>
                </c:pt>
                <c:pt idx="89">
                  <c:v>36</c:v>
                </c:pt>
                <c:pt idx="90">
                  <c:v>52</c:v>
                </c:pt>
                <c:pt idx="91">
                  <c:v>61</c:v>
                </c:pt>
                <c:pt idx="92">
                  <c:v>43</c:v>
                </c:pt>
                <c:pt idx="93">
                  <c:v>35</c:v>
                </c:pt>
                <c:pt idx="94">
                  <c:v>27</c:v>
                </c:pt>
                <c:pt idx="95">
                  <c:v>29</c:v>
                </c:pt>
                <c:pt idx="96">
                  <c:v>64</c:v>
                </c:pt>
                <c:pt idx="97">
                  <c:v>41</c:v>
                </c:pt>
                <c:pt idx="98">
                  <c:v>49</c:v>
                </c:pt>
                <c:pt idx="99">
                  <c:v>48</c:v>
                </c:pt>
                <c:pt idx="100">
                  <c:v>53</c:v>
                </c:pt>
                <c:pt idx="101">
                  <c:v>53</c:v>
                </c:pt>
                <c:pt idx="102">
                  <c:v>23</c:v>
                </c:pt>
                <c:pt idx="103">
                  <c:v>65</c:v>
                </c:pt>
                <c:pt idx="104">
                  <c:v>41</c:v>
                </c:pt>
                <c:pt idx="105">
                  <c:v>55</c:v>
                </c:pt>
                <c:pt idx="106">
                  <c:v>22</c:v>
                </c:pt>
                <c:pt idx="107">
                  <c:v>56</c:v>
                </c:pt>
                <c:pt idx="108">
                  <c:v>54</c:v>
                </c:pt>
                <c:pt idx="109">
                  <c:v>59</c:v>
                </c:pt>
                <c:pt idx="110">
                  <c:v>60</c:v>
                </c:pt>
                <c:pt idx="111">
                  <c:v>54</c:v>
                </c:pt>
                <c:pt idx="112">
                  <c:v>25</c:v>
                </c:pt>
                <c:pt idx="113">
                  <c:v>54</c:v>
                </c:pt>
                <c:pt idx="114">
                  <c:v>55</c:v>
                </c:pt>
                <c:pt idx="115">
                  <c:v>40</c:v>
                </c:pt>
                <c:pt idx="116">
                  <c:v>62</c:v>
                </c:pt>
                <c:pt idx="117">
                  <c:v>65</c:v>
                </c:pt>
                <c:pt idx="118">
                  <c:v>33</c:v>
                </c:pt>
                <c:pt idx="119">
                  <c:v>53</c:v>
                </c:pt>
                <c:pt idx="120">
                  <c:v>35</c:v>
                </c:pt>
                <c:pt idx="121">
                  <c:v>66</c:v>
                </c:pt>
                <c:pt idx="122">
                  <c:v>62</c:v>
                </c:pt>
                <c:pt idx="123">
                  <c:v>50</c:v>
                </c:pt>
                <c:pt idx="124">
                  <c:v>47</c:v>
                </c:pt>
                <c:pt idx="125">
                  <c:v>47</c:v>
                </c:pt>
                <c:pt idx="126">
                  <c:v>24</c:v>
                </c:pt>
                <c:pt idx="127">
                  <c:v>58</c:v>
                </c:pt>
                <c:pt idx="128">
                  <c:v>34</c:v>
                </c:pt>
                <c:pt idx="129">
                  <c:v>51</c:v>
                </c:pt>
                <c:pt idx="130">
                  <c:v>31</c:v>
                </c:pt>
                <c:pt idx="131">
                  <c:v>22</c:v>
                </c:pt>
                <c:pt idx="132">
                  <c:v>53</c:v>
                </c:pt>
                <c:pt idx="133">
                  <c:v>37</c:v>
                </c:pt>
                <c:pt idx="134">
                  <c:v>28</c:v>
                </c:pt>
                <c:pt idx="135">
                  <c:v>47</c:v>
                </c:pt>
                <c:pt idx="136">
                  <c:v>23</c:v>
                </c:pt>
                <c:pt idx="137">
                  <c:v>50</c:v>
                </c:pt>
                <c:pt idx="138">
                  <c:v>58</c:v>
                </c:pt>
                <c:pt idx="139">
                  <c:v>55</c:v>
                </c:pt>
                <c:pt idx="140">
                  <c:v>60</c:v>
                </c:pt>
                <c:pt idx="141">
                  <c:v>41</c:v>
                </c:pt>
                <c:pt idx="142">
                  <c:v>60</c:v>
                </c:pt>
                <c:pt idx="143">
                  <c:v>40</c:v>
                </c:pt>
                <c:pt idx="144">
                  <c:v>57</c:v>
                </c:pt>
                <c:pt idx="145">
                  <c:v>37</c:v>
                </c:pt>
                <c:pt idx="146">
                  <c:v>40</c:v>
                </c:pt>
                <c:pt idx="147">
                  <c:v>33</c:v>
                </c:pt>
                <c:pt idx="148">
                  <c:v>32</c:v>
                </c:pt>
                <c:pt idx="149">
                  <c:v>35</c:v>
                </c:pt>
                <c:pt idx="150">
                  <c:v>55</c:v>
                </c:pt>
                <c:pt idx="151">
                  <c:v>49</c:v>
                </c:pt>
                <c:pt idx="152">
                  <c:v>39</c:v>
                </c:pt>
                <c:pt idx="153">
                  <c:v>60</c:v>
                </c:pt>
                <c:pt idx="154">
                  <c:v>67</c:v>
                </c:pt>
                <c:pt idx="155">
                  <c:v>41</c:v>
                </c:pt>
                <c:pt idx="156">
                  <c:v>44</c:v>
                </c:pt>
                <c:pt idx="157">
                  <c:v>48</c:v>
                </c:pt>
                <c:pt idx="158">
                  <c:v>45</c:v>
                </c:pt>
                <c:pt idx="159">
                  <c:v>47</c:v>
                </c:pt>
                <c:pt idx="160">
                  <c:v>46</c:v>
                </c:pt>
                <c:pt idx="161">
                  <c:v>36</c:v>
                </c:pt>
                <c:pt idx="162">
                  <c:v>34</c:v>
                </c:pt>
                <c:pt idx="163">
                  <c:v>53</c:v>
                </c:pt>
                <c:pt idx="164">
                  <c:v>61</c:v>
                </c:pt>
                <c:pt idx="165">
                  <c:v>37</c:v>
                </c:pt>
                <c:pt idx="166">
                  <c:v>33</c:v>
                </c:pt>
                <c:pt idx="167">
                  <c:v>68</c:v>
                </c:pt>
                <c:pt idx="168">
                  <c:v>49</c:v>
                </c:pt>
                <c:pt idx="169">
                  <c:v>48</c:v>
                </c:pt>
                <c:pt idx="170">
                  <c:v>55</c:v>
                </c:pt>
                <c:pt idx="171">
                  <c:v>43</c:v>
                </c:pt>
                <c:pt idx="172">
                  <c:v>60</c:v>
                </c:pt>
                <c:pt idx="173">
                  <c:v>31</c:v>
                </c:pt>
                <c:pt idx="174">
                  <c:v>53</c:v>
                </c:pt>
                <c:pt idx="175">
                  <c:v>67</c:v>
                </c:pt>
                <c:pt idx="176">
                  <c:v>61</c:v>
                </c:pt>
                <c:pt idx="177">
                  <c:v>62</c:v>
                </c:pt>
                <c:pt idx="178">
                  <c:v>60</c:v>
                </c:pt>
                <c:pt idx="179">
                  <c:v>42</c:v>
                </c:pt>
                <c:pt idx="180">
                  <c:v>38</c:v>
                </c:pt>
                <c:pt idx="181">
                  <c:v>62</c:v>
                </c:pt>
                <c:pt idx="182">
                  <c:v>61</c:v>
                </c:pt>
                <c:pt idx="183">
                  <c:v>61</c:v>
                </c:pt>
                <c:pt idx="184">
                  <c:v>53</c:v>
                </c:pt>
                <c:pt idx="185">
                  <c:v>28</c:v>
                </c:pt>
                <c:pt idx="186">
                  <c:v>26</c:v>
                </c:pt>
                <c:pt idx="187">
                  <c:v>30</c:v>
                </c:pt>
                <c:pt idx="188">
                  <c:v>50</c:v>
                </c:pt>
                <c:pt idx="189">
                  <c:v>48</c:v>
                </c:pt>
                <c:pt idx="190">
                  <c:v>51</c:v>
                </c:pt>
                <c:pt idx="191">
                  <c:v>47</c:v>
                </c:pt>
                <c:pt idx="192">
                  <c:v>64</c:v>
                </c:pt>
                <c:pt idx="193">
                  <c:v>51</c:v>
                </c:pt>
                <c:pt idx="194">
                  <c:v>30</c:v>
                </c:pt>
                <c:pt idx="195">
                  <c:v>56</c:v>
                </c:pt>
                <c:pt idx="196">
                  <c:v>42</c:v>
                </c:pt>
                <c:pt idx="197">
                  <c:v>62</c:v>
                </c:pt>
                <c:pt idx="198">
                  <c:v>34</c:v>
                </c:pt>
                <c:pt idx="199">
                  <c:v>60</c:v>
                </c:pt>
                <c:pt idx="200">
                  <c:v>64</c:v>
                </c:pt>
                <c:pt idx="201">
                  <c:v>39</c:v>
                </c:pt>
                <c:pt idx="202">
                  <c:v>71</c:v>
                </c:pt>
                <c:pt idx="203">
                  <c:v>48</c:v>
                </c:pt>
                <c:pt idx="204">
                  <c:v>79</c:v>
                </c:pt>
                <c:pt idx="205">
                  <c:v>40</c:v>
                </c:pt>
                <c:pt idx="206">
                  <c:v>49</c:v>
                </c:pt>
                <c:pt idx="207">
                  <c:v>51</c:v>
                </c:pt>
                <c:pt idx="208">
                  <c:v>57</c:v>
                </c:pt>
                <c:pt idx="209">
                  <c:v>59</c:v>
                </c:pt>
                <c:pt idx="210">
                  <c:v>51</c:v>
                </c:pt>
                <c:pt idx="211">
                  <c:v>74</c:v>
                </c:pt>
                <c:pt idx="212">
                  <c:v>67</c:v>
                </c:pt>
                <c:pt idx="213">
                  <c:v>49</c:v>
                </c:pt>
                <c:pt idx="214">
                  <c:v>57</c:v>
                </c:pt>
                <c:pt idx="215">
                  <c:v>56</c:v>
                </c:pt>
                <c:pt idx="216">
                  <c:v>52</c:v>
                </c:pt>
                <c:pt idx="217">
                  <c:v>69</c:v>
                </c:pt>
                <c:pt idx="218">
                  <c:v>37</c:v>
                </c:pt>
                <c:pt idx="219">
                  <c:v>24</c:v>
                </c:pt>
                <c:pt idx="220">
                  <c:v>55</c:v>
                </c:pt>
                <c:pt idx="221">
                  <c:v>36</c:v>
                </c:pt>
                <c:pt idx="222">
                  <c:v>42</c:v>
                </c:pt>
                <c:pt idx="223">
                  <c:v>21</c:v>
                </c:pt>
                <c:pt idx="224">
                  <c:v>41</c:v>
                </c:pt>
                <c:pt idx="225">
                  <c:v>57</c:v>
                </c:pt>
                <c:pt idx="226">
                  <c:v>20</c:v>
                </c:pt>
                <c:pt idx="227">
                  <c:v>67</c:v>
                </c:pt>
                <c:pt idx="228">
                  <c:v>34</c:v>
                </c:pt>
                <c:pt idx="229">
                  <c:v>41</c:v>
                </c:pt>
                <c:pt idx="230">
                  <c:v>38</c:v>
                </c:pt>
                <c:pt idx="231">
                  <c:v>51</c:v>
                </c:pt>
                <c:pt idx="232">
                  <c:v>52</c:v>
                </c:pt>
                <c:pt idx="233">
                  <c:v>67</c:v>
                </c:pt>
                <c:pt idx="234">
                  <c:v>61</c:v>
                </c:pt>
                <c:pt idx="235">
                  <c:v>67</c:v>
                </c:pt>
                <c:pt idx="236">
                  <c:v>56</c:v>
                </c:pt>
                <c:pt idx="237">
                  <c:v>64</c:v>
                </c:pt>
                <c:pt idx="238">
                  <c:v>58</c:v>
                </c:pt>
                <c:pt idx="239">
                  <c:v>55</c:v>
                </c:pt>
                <c:pt idx="240">
                  <c:v>62</c:v>
                </c:pt>
                <c:pt idx="241">
                  <c:v>57</c:v>
                </c:pt>
                <c:pt idx="242">
                  <c:v>20</c:v>
                </c:pt>
                <c:pt idx="243">
                  <c:v>53</c:v>
                </c:pt>
                <c:pt idx="244">
                  <c:v>32</c:v>
                </c:pt>
                <c:pt idx="245">
                  <c:v>41</c:v>
                </c:pt>
                <c:pt idx="246">
                  <c:v>60</c:v>
                </c:pt>
                <c:pt idx="247">
                  <c:v>26</c:v>
                </c:pt>
                <c:pt idx="248">
                  <c:v>37</c:v>
                </c:pt>
                <c:pt idx="249">
                  <c:v>45</c:v>
                </c:pt>
                <c:pt idx="250">
                  <c:v>67</c:v>
                </c:pt>
                <c:pt idx="251">
                  <c:v>34</c:v>
                </c:pt>
                <c:pt idx="252">
                  <c:v>50</c:v>
                </c:pt>
                <c:pt idx="253">
                  <c:v>71</c:v>
                </c:pt>
                <c:pt idx="254">
                  <c:v>57</c:v>
                </c:pt>
                <c:pt idx="255">
                  <c:v>49</c:v>
                </c:pt>
                <c:pt idx="256">
                  <c:v>35</c:v>
                </c:pt>
                <c:pt idx="257">
                  <c:v>41</c:v>
                </c:pt>
                <c:pt idx="258">
                  <c:v>70</c:v>
                </c:pt>
                <c:pt idx="259">
                  <c:v>52</c:v>
                </c:pt>
                <c:pt idx="260">
                  <c:v>60</c:v>
                </c:pt>
                <c:pt idx="261">
                  <c:v>62</c:v>
                </c:pt>
                <c:pt idx="262">
                  <c:v>44</c:v>
                </c:pt>
                <c:pt idx="263">
                  <c:v>28</c:v>
                </c:pt>
                <c:pt idx="264">
                  <c:v>58</c:v>
                </c:pt>
                <c:pt idx="265">
                  <c:v>39</c:v>
                </c:pt>
                <c:pt idx="266">
                  <c:v>34</c:v>
                </c:pt>
                <c:pt idx="267">
                  <c:v>65</c:v>
                </c:pt>
                <c:pt idx="268">
                  <c:v>66</c:v>
                </c:pt>
                <c:pt idx="269">
                  <c:v>51</c:v>
                </c:pt>
                <c:pt idx="270">
                  <c:v>50</c:v>
                </c:pt>
                <c:pt idx="271">
                  <c:v>59</c:v>
                </c:pt>
                <c:pt idx="272">
                  <c:v>52</c:v>
                </c:pt>
                <c:pt idx="273">
                  <c:v>69</c:v>
                </c:pt>
                <c:pt idx="274">
                  <c:v>53</c:v>
                </c:pt>
                <c:pt idx="275">
                  <c:v>47</c:v>
                </c:pt>
                <c:pt idx="276">
                  <c:v>52</c:v>
                </c:pt>
                <c:pt idx="277">
                  <c:v>39</c:v>
                </c:pt>
                <c:pt idx="278">
                  <c:v>67</c:v>
                </c:pt>
                <c:pt idx="279">
                  <c:v>59</c:v>
                </c:pt>
                <c:pt idx="280">
                  <c:v>51</c:v>
                </c:pt>
                <c:pt idx="281">
                  <c:v>23</c:v>
                </c:pt>
                <c:pt idx="282">
                  <c:v>68</c:v>
                </c:pt>
                <c:pt idx="283">
                  <c:v>44</c:v>
                </c:pt>
                <c:pt idx="284">
                  <c:v>60</c:v>
                </c:pt>
                <c:pt idx="285">
                  <c:v>52</c:v>
                </c:pt>
                <c:pt idx="286">
                  <c:v>38</c:v>
                </c:pt>
                <c:pt idx="287">
                  <c:v>61</c:v>
                </c:pt>
                <c:pt idx="288">
                  <c:v>68</c:v>
                </c:pt>
                <c:pt idx="289">
                  <c:v>28</c:v>
                </c:pt>
                <c:pt idx="290">
                  <c:v>65</c:v>
                </c:pt>
                <c:pt idx="291">
                  <c:v>69</c:v>
                </c:pt>
                <c:pt idx="292">
                  <c:v>51</c:v>
                </c:pt>
                <c:pt idx="293">
                  <c:v>29</c:v>
                </c:pt>
                <c:pt idx="294">
                  <c:v>55</c:v>
                </c:pt>
                <c:pt idx="295">
                  <c:v>34</c:v>
                </c:pt>
                <c:pt idx="296">
                  <c:v>67</c:v>
                </c:pt>
                <c:pt idx="297">
                  <c:v>49</c:v>
                </c:pt>
                <c:pt idx="298">
                  <c:v>55</c:v>
                </c:pt>
                <c:pt idx="299">
                  <c:v>59</c:v>
                </c:pt>
                <c:pt idx="300">
                  <c:v>53</c:v>
                </c:pt>
                <c:pt idx="301">
                  <c:v>48</c:v>
                </c:pt>
                <c:pt idx="302">
                  <c:v>52</c:v>
                </c:pt>
                <c:pt idx="303">
                  <c:v>69</c:v>
                </c:pt>
                <c:pt idx="304">
                  <c:v>60</c:v>
                </c:pt>
                <c:pt idx="305">
                  <c:v>46</c:v>
                </c:pt>
                <c:pt idx="306">
                  <c:v>51</c:v>
                </c:pt>
                <c:pt idx="307">
                  <c:v>67</c:v>
                </c:pt>
                <c:pt idx="308">
                  <c:v>49</c:v>
                </c:pt>
                <c:pt idx="309">
                  <c:v>46</c:v>
                </c:pt>
                <c:pt idx="310">
                  <c:v>47</c:v>
                </c:pt>
                <c:pt idx="311">
                  <c:v>75</c:v>
                </c:pt>
                <c:pt idx="312">
                  <c:v>28</c:v>
                </c:pt>
                <c:pt idx="313">
                  <c:v>65</c:v>
                </c:pt>
                <c:pt idx="314">
                  <c:v>42</c:v>
                </c:pt>
                <c:pt idx="315">
                  <c:v>51</c:v>
                </c:pt>
                <c:pt idx="316">
                  <c:v>53</c:v>
                </c:pt>
                <c:pt idx="317">
                  <c:v>54</c:v>
                </c:pt>
                <c:pt idx="318">
                  <c:v>73</c:v>
                </c:pt>
                <c:pt idx="319">
                  <c:v>54</c:v>
                </c:pt>
                <c:pt idx="320">
                  <c:v>42</c:v>
                </c:pt>
                <c:pt idx="321">
                  <c:v>75</c:v>
                </c:pt>
                <c:pt idx="322">
                  <c:v>55</c:v>
                </c:pt>
                <c:pt idx="323">
                  <c:v>68</c:v>
                </c:pt>
                <c:pt idx="324">
                  <c:v>57</c:v>
                </c:pt>
                <c:pt idx="325">
                  <c:v>48</c:v>
                </c:pt>
                <c:pt idx="326">
                  <c:v>61</c:v>
                </c:pt>
                <c:pt idx="327">
                  <c:v>69</c:v>
                </c:pt>
                <c:pt idx="328">
                  <c:v>38</c:v>
                </c:pt>
                <c:pt idx="329">
                  <c:v>45</c:v>
                </c:pt>
                <c:pt idx="330">
                  <c:v>51</c:v>
                </c:pt>
                <c:pt idx="331">
                  <c:v>71</c:v>
                </c:pt>
                <c:pt idx="332">
                  <c:v>57</c:v>
                </c:pt>
                <c:pt idx="333">
                  <c:v>56</c:v>
                </c:pt>
                <c:pt idx="334">
                  <c:v>32</c:v>
                </c:pt>
                <c:pt idx="335">
                  <c:v>50</c:v>
                </c:pt>
                <c:pt idx="336">
                  <c:v>43</c:v>
                </c:pt>
                <c:pt idx="337">
                  <c:v>54</c:v>
                </c:pt>
                <c:pt idx="338">
                  <c:v>31</c:v>
                </c:pt>
                <c:pt idx="339">
                  <c:v>56</c:v>
                </c:pt>
                <c:pt idx="340">
                  <c:v>44</c:v>
                </c:pt>
                <c:pt idx="341">
                  <c:v>57</c:v>
                </c:pt>
                <c:pt idx="342">
                  <c:v>64</c:v>
                </c:pt>
                <c:pt idx="343">
                  <c:v>43</c:v>
                </c:pt>
                <c:pt idx="344">
                  <c:v>19</c:v>
                </c:pt>
                <c:pt idx="345">
                  <c:v>71</c:v>
                </c:pt>
                <c:pt idx="346">
                  <c:v>50</c:v>
                </c:pt>
                <c:pt idx="347">
                  <c:v>59</c:v>
                </c:pt>
                <c:pt idx="348">
                  <c:v>57</c:v>
                </c:pt>
                <c:pt idx="349">
                  <c:v>49</c:v>
                </c:pt>
                <c:pt idx="350">
                  <c:v>41</c:v>
                </c:pt>
                <c:pt idx="351">
                  <c:v>25</c:v>
                </c:pt>
                <c:pt idx="352">
                  <c:v>52</c:v>
                </c:pt>
                <c:pt idx="353">
                  <c:v>34</c:v>
                </c:pt>
                <c:pt idx="354">
                  <c:v>42</c:v>
                </c:pt>
                <c:pt idx="355">
                  <c:v>28</c:v>
                </c:pt>
                <c:pt idx="356">
                  <c:v>47</c:v>
                </c:pt>
                <c:pt idx="357">
                  <c:v>32</c:v>
                </c:pt>
                <c:pt idx="358">
                  <c:v>43</c:v>
                </c:pt>
                <c:pt idx="359">
                  <c:v>59</c:v>
                </c:pt>
                <c:pt idx="360">
                  <c:v>53</c:v>
                </c:pt>
                <c:pt idx="361">
                  <c:v>60</c:v>
                </c:pt>
                <c:pt idx="362">
                  <c:v>54</c:v>
                </c:pt>
                <c:pt idx="363">
                  <c:v>35</c:v>
                </c:pt>
                <c:pt idx="364">
                  <c:v>49</c:v>
                </c:pt>
                <c:pt idx="365">
                  <c:v>58</c:v>
                </c:pt>
                <c:pt idx="366">
                  <c:v>36</c:v>
                </c:pt>
                <c:pt idx="367">
                  <c:v>46</c:v>
                </c:pt>
                <c:pt idx="368">
                  <c:v>44</c:v>
                </c:pt>
                <c:pt idx="369">
                  <c:v>46</c:v>
                </c:pt>
                <c:pt idx="370">
                  <c:v>54</c:v>
                </c:pt>
                <c:pt idx="371">
                  <c:v>63</c:v>
                </c:pt>
                <c:pt idx="372">
                  <c:v>41</c:v>
                </c:pt>
                <c:pt idx="373">
                  <c:v>28</c:v>
                </c:pt>
                <c:pt idx="374">
                  <c:v>19</c:v>
                </c:pt>
                <c:pt idx="375">
                  <c:v>61</c:v>
                </c:pt>
                <c:pt idx="376">
                  <c:v>48</c:v>
                </c:pt>
                <c:pt idx="377">
                  <c:v>54</c:v>
                </c:pt>
                <c:pt idx="378">
                  <c:v>53</c:v>
                </c:pt>
                <c:pt idx="379">
                  <c:v>48</c:v>
                </c:pt>
                <c:pt idx="380">
                  <c:v>53</c:v>
                </c:pt>
                <c:pt idx="381">
                  <c:v>29</c:v>
                </c:pt>
                <c:pt idx="382">
                  <c:v>62</c:v>
                </c:pt>
                <c:pt idx="383">
                  <c:v>50</c:v>
                </c:pt>
                <c:pt idx="384">
                  <c:v>58</c:v>
                </c:pt>
                <c:pt idx="385">
                  <c:v>55</c:v>
                </c:pt>
                <c:pt idx="386">
                  <c:v>54</c:v>
                </c:pt>
                <c:pt idx="387">
                  <c:v>36</c:v>
                </c:pt>
                <c:pt idx="388">
                  <c:v>63</c:v>
                </c:pt>
                <c:pt idx="389">
                  <c:v>47</c:v>
                </c:pt>
                <c:pt idx="390">
                  <c:v>51</c:v>
                </c:pt>
                <c:pt idx="391">
                  <c:v>42</c:v>
                </c:pt>
                <c:pt idx="392">
                  <c:v>37</c:v>
                </c:pt>
                <c:pt idx="393">
                  <c:v>28</c:v>
                </c:pt>
                <c:pt idx="394">
                  <c:v>58</c:v>
                </c:pt>
                <c:pt idx="395">
                  <c:v>32</c:v>
                </c:pt>
                <c:pt idx="396">
                  <c:v>25</c:v>
                </c:pt>
                <c:pt idx="397">
                  <c:v>63</c:v>
                </c:pt>
                <c:pt idx="398">
                  <c:v>52</c:v>
                </c:pt>
                <c:pt idx="399">
                  <c:v>65</c:v>
                </c:pt>
                <c:pt idx="400">
                  <c:v>42</c:v>
                </c:pt>
                <c:pt idx="401">
                  <c:v>53</c:v>
                </c:pt>
                <c:pt idx="402">
                  <c:v>79</c:v>
                </c:pt>
                <c:pt idx="403">
                  <c:v>43</c:v>
                </c:pt>
                <c:pt idx="404">
                  <c:v>44</c:v>
                </c:pt>
                <c:pt idx="405">
                  <c:v>62</c:v>
                </c:pt>
                <c:pt idx="406">
                  <c:v>33</c:v>
                </c:pt>
                <c:pt idx="407">
                  <c:v>56</c:v>
                </c:pt>
                <c:pt idx="408">
                  <c:v>66</c:v>
                </c:pt>
                <c:pt idx="409">
                  <c:v>34</c:v>
                </c:pt>
                <c:pt idx="410">
                  <c:v>46</c:v>
                </c:pt>
                <c:pt idx="411">
                  <c:v>50</c:v>
                </c:pt>
                <c:pt idx="412">
                  <c:v>69</c:v>
                </c:pt>
                <c:pt idx="413">
                  <c:v>34</c:v>
                </c:pt>
                <c:pt idx="414">
                  <c:v>71</c:v>
                </c:pt>
                <c:pt idx="415">
                  <c:v>47</c:v>
                </c:pt>
                <c:pt idx="416">
                  <c:v>41</c:v>
                </c:pt>
                <c:pt idx="417">
                  <c:v>34</c:v>
                </c:pt>
                <c:pt idx="418">
                  <c:v>51</c:v>
                </c:pt>
                <c:pt idx="419">
                  <c:v>43</c:v>
                </c:pt>
                <c:pt idx="420">
                  <c:v>55</c:v>
                </c:pt>
                <c:pt idx="421">
                  <c:v>59</c:v>
                </c:pt>
                <c:pt idx="422">
                  <c:v>27</c:v>
                </c:pt>
                <c:pt idx="423">
                  <c:v>51</c:v>
                </c:pt>
                <c:pt idx="424">
                  <c:v>49</c:v>
                </c:pt>
                <c:pt idx="425">
                  <c:v>27</c:v>
                </c:pt>
                <c:pt idx="426">
                  <c:v>57</c:v>
                </c:pt>
                <c:pt idx="427">
                  <c:v>39</c:v>
                </c:pt>
                <c:pt idx="428">
                  <c:v>62</c:v>
                </c:pt>
                <c:pt idx="429">
                  <c:v>37</c:v>
                </c:pt>
                <c:pt idx="430">
                  <c:v>46</c:v>
                </c:pt>
                <c:pt idx="431">
                  <c:v>68</c:v>
                </c:pt>
                <c:pt idx="432">
                  <c:v>51</c:v>
                </c:pt>
                <c:pt idx="433">
                  <c:v>41</c:v>
                </c:pt>
                <c:pt idx="434">
                  <c:v>53</c:v>
                </c:pt>
                <c:pt idx="435">
                  <c:v>45</c:v>
                </c:pt>
                <c:pt idx="436">
                  <c:v>33</c:v>
                </c:pt>
                <c:pt idx="437">
                  <c:v>60</c:v>
                </c:pt>
                <c:pt idx="438">
                  <c:v>47</c:v>
                </c:pt>
                <c:pt idx="439">
                  <c:v>60</c:v>
                </c:pt>
                <c:pt idx="440">
                  <c:v>36</c:v>
                </c:pt>
                <c:pt idx="441">
                  <c:v>36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DC-4430-B630-16C119769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544272"/>
        <c:axId val="798545256"/>
      </c:scatterChart>
      <c:valAx>
        <c:axId val="79854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Age/BMI/BP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5256"/>
        <c:crosses val="autoZero"/>
        <c:crossBetween val="midCat"/>
      </c:valAx>
      <c:valAx>
        <c:axId val="798545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RawData!$C$1</c:f>
              <c:strCache>
                <c:ptCount val="1"/>
                <c:pt idx="0">
                  <c:v>BMI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RawData!$C$2:$C$443</c:f>
              <c:numCache>
                <c:formatCode>General</c:formatCode>
                <c:ptCount val="442"/>
                <c:pt idx="0">
                  <c:v>32.1</c:v>
                </c:pt>
                <c:pt idx="1">
                  <c:v>21.6</c:v>
                </c:pt>
                <c:pt idx="2">
                  <c:v>30.5</c:v>
                </c:pt>
                <c:pt idx="3">
                  <c:v>25.3</c:v>
                </c:pt>
                <c:pt idx="4">
                  <c:v>23</c:v>
                </c:pt>
                <c:pt idx="5">
                  <c:v>22.6</c:v>
                </c:pt>
                <c:pt idx="6">
                  <c:v>22</c:v>
                </c:pt>
                <c:pt idx="7">
                  <c:v>26.2</c:v>
                </c:pt>
                <c:pt idx="8">
                  <c:v>32.1</c:v>
                </c:pt>
                <c:pt idx="9">
                  <c:v>30</c:v>
                </c:pt>
                <c:pt idx="10">
                  <c:v>18.600000000000001</c:v>
                </c:pt>
                <c:pt idx="11">
                  <c:v>28</c:v>
                </c:pt>
                <c:pt idx="12">
                  <c:v>23.7</c:v>
                </c:pt>
                <c:pt idx="13">
                  <c:v>26.2</c:v>
                </c:pt>
                <c:pt idx="14">
                  <c:v>24</c:v>
                </c:pt>
                <c:pt idx="15">
                  <c:v>24.7</c:v>
                </c:pt>
                <c:pt idx="16">
                  <c:v>30.3</c:v>
                </c:pt>
                <c:pt idx="17">
                  <c:v>27.5</c:v>
                </c:pt>
                <c:pt idx="18">
                  <c:v>25.4</c:v>
                </c:pt>
                <c:pt idx="19">
                  <c:v>24.7</c:v>
                </c:pt>
                <c:pt idx="20">
                  <c:v>21.1</c:v>
                </c:pt>
                <c:pt idx="21">
                  <c:v>24.3</c:v>
                </c:pt>
                <c:pt idx="22">
                  <c:v>26</c:v>
                </c:pt>
                <c:pt idx="23">
                  <c:v>32</c:v>
                </c:pt>
                <c:pt idx="24">
                  <c:v>29.7</c:v>
                </c:pt>
                <c:pt idx="25">
                  <c:v>25.2</c:v>
                </c:pt>
                <c:pt idx="26">
                  <c:v>19.2</c:v>
                </c:pt>
                <c:pt idx="27">
                  <c:v>31.9</c:v>
                </c:pt>
                <c:pt idx="28">
                  <c:v>24.4</c:v>
                </c:pt>
                <c:pt idx="29">
                  <c:v>25.8</c:v>
                </c:pt>
                <c:pt idx="30">
                  <c:v>30.5</c:v>
                </c:pt>
                <c:pt idx="31">
                  <c:v>20.3</c:v>
                </c:pt>
                <c:pt idx="32">
                  <c:v>38</c:v>
                </c:pt>
                <c:pt idx="33">
                  <c:v>21.7</c:v>
                </c:pt>
                <c:pt idx="34">
                  <c:v>20.5</c:v>
                </c:pt>
                <c:pt idx="35">
                  <c:v>23.5</c:v>
                </c:pt>
                <c:pt idx="36">
                  <c:v>28.5</c:v>
                </c:pt>
                <c:pt idx="37">
                  <c:v>27.4</c:v>
                </c:pt>
                <c:pt idx="38">
                  <c:v>33</c:v>
                </c:pt>
                <c:pt idx="39">
                  <c:v>27.7</c:v>
                </c:pt>
                <c:pt idx="40">
                  <c:v>25.6</c:v>
                </c:pt>
                <c:pt idx="41">
                  <c:v>20.100000000000001</c:v>
                </c:pt>
                <c:pt idx="42">
                  <c:v>25.4</c:v>
                </c:pt>
                <c:pt idx="43">
                  <c:v>24.2</c:v>
                </c:pt>
                <c:pt idx="44">
                  <c:v>32.700000000000003</c:v>
                </c:pt>
                <c:pt idx="45">
                  <c:v>23.1</c:v>
                </c:pt>
                <c:pt idx="46">
                  <c:v>25.3</c:v>
                </c:pt>
                <c:pt idx="47">
                  <c:v>19.600000000000001</c:v>
                </c:pt>
                <c:pt idx="48">
                  <c:v>22.5</c:v>
                </c:pt>
                <c:pt idx="49">
                  <c:v>27.7</c:v>
                </c:pt>
                <c:pt idx="50">
                  <c:v>25.7</c:v>
                </c:pt>
                <c:pt idx="51">
                  <c:v>27.9</c:v>
                </c:pt>
                <c:pt idx="52">
                  <c:v>25.5</c:v>
                </c:pt>
                <c:pt idx="53">
                  <c:v>24.9</c:v>
                </c:pt>
                <c:pt idx="54">
                  <c:v>28.7</c:v>
                </c:pt>
                <c:pt idx="55">
                  <c:v>21.8</c:v>
                </c:pt>
                <c:pt idx="56">
                  <c:v>30.2</c:v>
                </c:pt>
                <c:pt idx="57">
                  <c:v>20.5</c:v>
                </c:pt>
                <c:pt idx="58">
                  <c:v>20.399999999999999</c:v>
                </c:pt>
                <c:pt idx="59">
                  <c:v>24</c:v>
                </c:pt>
                <c:pt idx="60">
                  <c:v>26</c:v>
                </c:pt>
                <c:pt idx="61">
                  <c:v>26.8</c:v>
                </c:pt>
                <c:pt idx="62">
                  <c:v>25.7</c:v>
                </c:pt>
                <c:pt idx="63">
                  <c:v>22.9</c:v>
                </c:pt>
                <c:pt idx="64">
                  <c:v>24</c:v>
                </c:pt>
                <c:pt idx="65">
                  <c:v>24.1</c:v>
                </c:pt>
                <c:pt idx="66">
                  <c:v>24.7</c:v>
                </c:pt>
                <c:pt idx="67">
                  <c:v>25</c:v>
                </c:pt>
                <c:pt idx="68">
                  <c:v>23.6</c:v>
                </c:pt>
                <c:pt idx="69">
                  <c:v>22.1</c:v>
                </c:pt>
                <c:pt idx="70">
                  <c:v>19.899999999999999</c:v>
                </c:pt>
                <c:pt idx="71">
                  <c:v>29.5</c:v>
                </c:pt>
                <c:pt idx="72">
                  <c:v>26</c:v>
                </c:pt>
                <c:pt idx="73">
                  <c:v>24.5</c:v>
                </c:pt>
                <c:pt idx="74">
                  <c:v>26.6</c:v>
                </c:pt>
                <c:pt idx="75">
                  <c:v>23.5</c:v>
                </c:pt>
                <c:pt idx="76">
                  <c:v>29</c:v>
                </c:pt>
                <c:pt idx="77">
                  <c:v>23</c:v>
                </c:pt>
                <c:pt idx="78">
                  <c:v>21</c:v>
                </c:pt>
                <c:pt idx="79">
                  <c:v>22.9</c:v>
                </c:pt>
                <c:pt idx="80">
                  <c:v>27.5</c:v>
                </c:pt>
                <c:pt idx="81">
                  <c:v>24.3</c:v>
                </c:pt>
                <c:pt idx="82">
                  <c:v>23.1</c:v>
                </c:pt>
                <c:pt idx="83">
                  <c:v>27.3</c:v>
                </c:pt>
                <c:pt idx="84">
                  <c:v>22.7</c:v>
                </c:pt>
                <c:pt idx="85">
                  <c:v>33</c:v>
                </c:pt>
                <c:pt idx="86">
                  <c:v>19.399999999999999</c:v>
                </c:pt>
                <c:pt idx="87">
                  <c:v>25.8</c:v>
                </c:pt>
                <c:pt idx="88">
                  <c:v>22.6</c:v>
                </c:pt>
                <c:pt idx="89">
                  <c:v>21.9</c:v>
                </c:pt>
                <c:pt idx="90">
                  <c:v>24</c:v>
                </c:pt>
                <c:pt idx="91">
                  <c:v>31.2</c:v>
                </c:pt>
                <c:pt idx="92">
                  <c:v>26.8</c:v>
                </c:pt>
                <c:pt idx="93">
                  <c:v>20.399999999999999</c:v>
                </c:pt>
                <c:pt idx="94">
                  <c:v>24.8</c:v>
                </c:pt>
                <c:pt idx="95">
                  <c:v>21</c:v>
                </c:pt>
                <c:pt idx="96">
                  <c:v>27.3</c:v>
                </c:pt>
                <c:pt idx="97">
                  <c:v>34.6</c:v>
                </c:pt>
                <c:pt idx="98">
                  <c:v>25.9</c:v>
                </c:pt>
                <c:pt idx="99">
                  <c:v>20.399999999999999</c:v>
                </c:pt>
                <c:pt idx="100">
                  <c:v>28</c:v>
                </c:pt>
                <c:pt idx="101">
                  <c:v>22.2</c:v>
                </c:pt>
                <c:pt idx="102">
                  <c:v>29</c:v>
                </c:pt>
                <c:pt idx="103">
                  <c:v>30.2</c:v>
                </c:pt>
                <c:pt idx="104">
                  <c:v>32.4</c:v>
                </c:pt>
                <c:pt idx="105">
                  <c:v>23.4</c:v>
                </c:pt>
                <c:pt idx="106">
                  <c:v>19.3</c:v>
                </c:pt>
                <c:pt idx="107">
                  <c:v>31</c:v>
                </c:pt>
                <c:pt idx="108">
                  <c:v>30.6</c:v>
                </c:pt>
                <c:pt idx="109">
                  <c:v>25.5</c:v>
                </c:pt>
                <c:pt idx="110">
                  <c:v>23.4</c:v>
                </c:pt>
                <c:pt idx="111">
                  <c:v>26.8</c:v>
                </c:pt>
                <c:pt idx="112">
                  <c:v>28.3</c:v>
                </c:pt>
                <c:pt idx="113">
                  <c:v>27.7</c:v>
                </c:pt>
                <c:pt idx="114">
                  <c:v>36.6</c:v>
                </c:pt>
                <c:pt idx="115">
                  <c:v>26.5</c:v>
                </c:pt>
                <c:pt idx="116">
                  <c:v>31.8</c:v>
                </c:pt>
                <c:pt idx="117">
                  <c:v>24.4</c:v>
                </c:pt>
                <c:pt idx="118">
                  <c:v>25.4</c:v>
                </c:pt>
                <c:pt idx="119">
                  <c:v>22</c:v>
                </c:pt>
                <c:pt idx="120">
                  <c:v>26.8</c:v>
                </c:pt>
                <c:pt idx="121">
                  <c:v>28</c:v>
                </c:pt>
                <c:pt idx="122">
                  <c:v>33.9</c:v>
                </c:pt>
                <c:pt idx="123">
                  <c:v>29.6</c:v>
                </c:pt>
                <c:pt idx="124">
                  <c:v>28.6</c:v>
                </c:pt>
                <c:pt idx="125">
                  <c:v>25.6</c:v>
                </c:pt>
                <c:pt idx="126">
                  <c:v>20.7</c:v>
                </c:pt>
                <c:pt idx="127">
                  <c:v>26.2</c:v>
                </c:pt>
                <c:pt idx="128">
                  <c:v>20.6</c:v>
                </c:pt>
                <c:pt idx="129">
                  <c:v>27.9</c:v>
                </c:pt>
                <c:pt idx="130">
                  <c:v>35.299999999999997</c:v>
                </c:pt>
                <c:pt idx="131">
                  <c:v>19.899999999999999</c:v>
                </c:pt>
                <c:pt idx="132">
                  <c:v>24.4</c:v>
                </c:pt>
                <c:pt idx="133">
                  <c:v>21.4</c:v>
                </c:pt>
                <c:pt idx="134">
                  <c:v>30.4</c:v>
                </c:pt>
                <c:pt idx="135">
                  <c:v>31.6</c:v>
                </c:pt>
                <c:pt idx="136">
                  <c:v>18.8</c:v>
                </c:pt>
                <c:pt idx="137">
                  <c:v>31</c:v>
                </c:pt>
                <c:pt idx="138">
                  <c:v>36.700000000000003</c:v>
                </c:pt>
                <c:pt idx="139">
                  <c:v>32.1</c:v>
                </c:pt>
                <c:pt idx="140">
                  <c:v>27.7</c:v>
                </c:pt>
                <c:pt idx="141">
                  <c:v>30.8</c:v>
                </c:pt>
                <c:pt idx="142">
                  <c:v>27.5</c:v>
                </c:pt>
                <c:pt idx="143">
                  <c:v>26.9</c:v>
                </c:pt>
                <c:pt idx="144">
                  <c:v>30.7</c:v>
                </c:pt>
                <c:pt idx="145">
                  <c:v>38.299999999999997</c:v>
                </c:pt>
                <c:pt idx="146">
                  <c:v>31.9</c:v>
                </c:pt>
                <c:pt idx="147">
                  <c:v>35</c:v>
                </c:pt>
                <c:pt idx="148">
                  <c:v>27.8</c:v>
                </c:pt>
                <c:pt idx="149">
                  <c:v>25.9</c:v>
                </c:pt>
                <c:pt idx="150">
                  <c:v>32.9</c:v>
                </c:pt>
                <c:pt idx="151">
                  <c:v>26</c:v>
                </c:pt>
                <c:pt idx="152">
                  <c:v>26.3</c:v>
                </c:pt>
                <c:pt idx="153">
                  <c:v>22.3</c:v>
                </c:pt>
                <c:pt idx="154">
                  <c:v>28.3</c:v>
                </c:pt>
                <c:pt idx="155">
                  <c:v>32</c:v>
                </c:pt>
                <c:pt idx="156">
                  <c:v>25.4</c:v>
                </c:pt>
                <c:pt idx="157">
                  <c:v>23.3</c:v>
                </c:pt>
                <c:pt idx="158">
                  <c:v>20.3</c:v>
                </c:pt>
                <c:pt idx="159">
                  <c:v>30.4</c:v>
                </c:pt>
                <c:pt idx="160">
                  <c:v>20.6</c:v>
                </c:pt>
                <c:pt idx="161">
                  <c:v>32.299999999999997</c:v>
                </c:pt>
                <c:pt idx="162">
                  <c:v>29.2</c:v>
                </c:pt>
                <c:pt idx="163">
                  <c:v>33.1</c:v>
                </c:pt>
                <c:pt idx="164">
                  <c:v>24.6</c:v>
                </c:pt>
                <c:pt idx="165">
                  <c:v>20.2</c:v>
                </c:pt>
                <c:pt idx="166">
                  <c:v>20.8</c:v>
                </c:pt>
                <c:pt idx="167">
                  <c:v>32.799999999999997</c:v>
                </c:pt>
                <c:pt idx="168">
                  <c:v>31.9</c:v>
                </c:pt>
                <c:pt idx="169">
                  <c:v>23.9</c:v>
                </c:pt>
                <c:pt idx="170">
                  <c:v>24.5</c:v>
                </c:pt>
                <c:pt idx="171">
                  <c:v>22.1</c:v>
                </c:pt>
                <c:pt idx="172">
                  <c:v>33</c:v>
                </c:pt>
                <c:pt idx="173">
                  <c:v>19</c:v>
                </c:pt>
                <c:pt idx="174">
                  <c:v>27.3</c:v>
                </c:pt>
                <c:pt idx="175">
                  <c:v>22.8</c:v>
                </c:pt>
                <c:pt idx="176">
                  <c:v>28.2</c:v>
                </c:pt>
                <c:pt idx="177">
                  <c:v>28.9</c:v>
                </c:pt>
                <c:pt idx="178">
                  <c:v>25.6</c:v>
                </c:pt>
                <c:pt idx="179">
                  <c:v>24.9</c:v>
                </c:pt>
                <c:pt idx="180">
                  <c:v>26.8</c:v>
                </c:pt>
                <c:pt idx="181">
                  <c:v>22.4</c:v>
                </c:pt>
                <c:pt idx="182">
                  <c:v>26.9</c:v>
                </c:pt>
                <c:pt idx="183">
                  <c:v>23.1</c:v>
                </c:pt>
                <c:pt idx="184">
                  <c:v>28.6</c:v>
                </c:pt>
                <c:pt idx="185">
                  <c:v>24.7</c:v>
                </c:pt>
                <c:pt idx="186">
                  <c:v>30.3</c:v>
                </c:pt>
                <c:pt idx="187">
                  <c:v>21.3</c:v>
                </c:pt>
                <c:pt idx="188">
                  <c:v>26.1</c:v>
                </c:pt>
                <c:pt idx="189">
                  <c:v>20.2</c:v>
                </c:pt>
                <c:pt idx="190">
                  <c:v>25.2</c:v>
                </c:pt>
                <c:pt idx="191">
                  <c:v>22.5</c:v>
                </c:pt>
                <c:pt idx="192">
                  <c:v>23.5</c:v>
                </c:pt>
                <c:pt idx="193">
                  <c:v>25.9</c:v>
                </c:pt>
                <c:pt idx="194">
                  <c:v>20.9</c:v>
                </c:pt>
                <c:pt idx="195">
                  <c:v>28.7</c:v>
                </c:pt>
                <c:pt idx="196">
                  <c:v>22.1</c:v>
                </c:pt>
                <c:pt idx="197">
                  <c:v>26.7</c:v>
                </c:pt>
                <c:pt idx="198">
                  <c:v>31.4</c:v>
                </c:pt>
                <c:pt idx="199">
                  <c:v>22.2</c:v>
                </c:pt>
                <c:pt idx="200">
                  <c:v>21</c:v>
                </c:pt>
                <c:pt idx="201">
                  <c:v>21.2</c:v>
                </c:pt>
                <c:pt idx="202">
                  <c:v>26.5</c:v>
                </c:pt>
                <c:pt idx="203">
                  <c:v>29.2</c:v>
                </c:pt>
                <c:pt idx="204">
                  <c:v>27</c:v>
                </c:pt>
                <c:pt idx="205">
                  <c:v>30.7</c:v>
                </c:pt>
                <c:pt idx="206">
                  <c:v>28.8</c:v>
                </c:pt>
                <c:pt idx="207">
                  <c:v>30.6</c:v>
                </c:pt>
                <c:pt idx="208">
                  <c:v>30.1</c:v>
                </c:pt>
                <c:pt idx="209">
                  <c:v>24.7</c:v>
                </c:pt>
                <c:pt idx="210">
                  <c:v>27.7</c:v>
                </c:pt>
                <c:pt idx="211">
                  <c:v>29.8</c:v>
                </c:pt>
                <c:pt idx="212">
                  <c:v>26.7</c:v>
                </c:pt>
                <c:pt idx="213">
                  <c:v>19.8</c:v>
                </c:pt>
                <c:pt idx="214">
                  <c:v>23.3</c:v>
                </c:pt>
                <c:pt idx="215">
                  <c:v>35.1</c:v>
                </c:pt>
                <c:pt idx="216">
                  <c:v>29.7</c:v>
                </c:pt>
                <c:pt idx="217">
                  <c:v>29.3</c:v>
                </c:pt>
                <c:pt idx="218">
                  <c:v>20.3</c:v>
                </c:pt>
                <c:pt idx="219">
                  <c:v>22.5</c:v>
                </c:pt>
                <c:pt idx="220">
                  <c:v>22.7</c:v>
                </c:pt>
                <c:pt idx="221">
                  <c:v>22.8</c:v>
                </c:pt>
                <c:pt idx="222">
                  <c:v>24</c:v>
                </c:pt>
                <c:pt idx="223">
                  <c:v>24.2</c:v>
                </c:pt>
                <c:pt idx="224">
                  <c:v>20.2</c:v>
                </c:pt>
                <c:pt idx="225">
                  <c:v>29.4</c:v>
                </c:pt>
                <c:pt idx="226">
                  <c:v>22.1</c:v>
                </c:pt>
                <c:pt idx="227">
                  <c:v>23.6</c:v>
                </c:pt>
                <c:pt idx="228">
                  <c:v>25.2</c:v>
                </c:pt>
                <c:pt idx="229">
                  <c:v>24.9</c:v>
                </c:pt>
                <c:pt idx="230">
                  <c:v>33</c:v>
                </c:pt>
                <c:pt idx="231">
                  <c:v>23.5</c:v>
                </c:pt>
                <c:pt idx="232">
                  <c:v>26.4</c:v>
                </c:pt>
                <c:pt idx="233">
                  <c:v>29.8</c:v>
                </c:pt>
                <c:pt idx="234">
                  <c:v>30</c:v>
                </c:pt>
                <c:pt idx="235">
                  <c:v>25</c:v>
                </c:pt>
                <c:pt idx="236">
                  <c:v>27</c:v>
                </c:pt>
                <c:pt idx="237">
                  <c:v>20</c:v>
                </c:pt>
                <c:pt idx="238">
                  <c:v>25.5</c:v>
                </c:pt>
                <c:pt idx="239">
                  <c:v>28.2</c:v>
                </c:pt>
                <c:pt idx="240">
                  <c:v>33.299999999999997</c:v>
                </c:pt>
                <c:pt idx="241">
                  <c:v>25.6</c:v>
                </c:pt>
                <c:pt idx="242">
                  <c:v>24.2</c:v>
                </c:pt>
                <c:pt idx="243">
                  <c:v>22.1</c:v>
                </c:pt>
                <c:pt idx="244">
                  <c:v>31.4</c:v>
                </c:pt>
                <c:pt idx="245">
                  <c:v>23.1</c:v>
                </c:pt>
                <c:pt idx="246">
                  <c:v>23.4</c:v>
                </c:pt>
                <c:pt idx="247">
                  <c:v>18.8</c:v>
                </c:pt>
                <c:pt idx="248">
                  <c:v>30.8</c:v>
                </c:pt>
                <c:pt idx="249">
                  <c:v>32</c:v>
                </c:pt>
                <c:pt idx="250">
                  <c:v>31.6</c:v>
                </c:pt>
                <c:pt idx="251">
                  <c:v>35.5</c:v>
                </c:pt>
                <c:pt idx="252">
                  <c:v>31.9</c:v>
                </c:pt>
                <c:pt idx="253">
                  <c:v>29.5</c:v>
                </c:pt>
                <c:pt idx="254">
                  <c:v>31.6</c:v>
                </c:pt>
                <c:pt idx="255">
                  <c:v>20.3</c:v>
                </c:pt>
                <c:pt idx="256">
                  <c:v>41.3</c:v>
                </c:pt>
                <c:pt idx="257">
                  <c:v>21.2</c:v>
                </c:pt>
                <c:pt idx="258">
                  <c:v>24.1</c:v>
                </c:pt>
                <c:pt idx="259">
                  <c:v>23</c:v>
                </c:pt>
                <c:pt idx="260">
                  <c:v>25.6</c:v>
                </c:pt>
                <c:pt idx="261">
                  <c:v>22.5</c:v>
                </c:pt>
                <c:pt idx="262">
                  <c:v>38.200000000000003</c:v>
                </c:pt>
                <c:pt idx="263">
                  <c:v>19.2</c:v>
                </c:pt>
                <c:pt idx="264">
                  <c:v>29</c:v>
                </c:pt>
                <c:pt idx="265">
                  <c:v>24</c:v>
                </c:pt>
                <c:pt idx="266">
                  <c:v>20.6</c:v>
                </c:pt>
                <c:pt idx="267">
                  <c:v>26.3</c:v>
                </c:pt>
                <c:pt idx="268">
                  <c:v>34.6</c:v>
                </c:pt>
                <c:pt idx="269">
                  <c:v>23.4</c:v>
                </c:pt>
                <c:pt idx="270">
                  <c:v>29.2</c:v>
                </c:pt>
                <c:pt idx="271">
                  <c:v>27.2</c:v>
                </c:pt>
                <c:pt idx="272">
                  <c:v>27</c:v>
                </c:pt>
                <c:pt idx="273">
                  <c:v>24.5</c:v>
                </c:pt>
                <c:pt idx="274">
                  <c:v>24.1</c:v>
                </c:pt>
                <c:pt idx="275">
                  <c:v>25.3</c:v>
                </c:pt>
                <c:pt idx="276">
                  <c:v>28.8</c:v>
                </c:pt>
                <c:pt idx="277">
                  <c:v>20.9</c:v>
                </c:pt>
                <c:pt idx="278">
                  <c:v>23</c:v>
                </c:pt>
                <c:pt idx="279">
                  <c:v>24.1</c:v>
                </c:pt>
                <c:pt idx="280">
                  <c:v>28.1</c:v>
                </c:pt>
                <c:pt idx="281">
                  <c:v>18</c:v>
                </c:pt>
                <c:pt idx="282">
                  <c:v>25.9</c:v>
                </c:pt>
                <c:pt idx="283">
                  <c:v>21.5</c:v>
                </c:pt>
                <c:pt idx="284">
                  <c:v>24.3</c:v>
                </c:pt>
                <c:pt idx="285">
                  <c:v>24.5</c:v>
                </c:pt>
                <c:pt idx="286">
                  <c:v>21.3</c:v>
                </c:pt>
                <c:pt idx="287">
                  <c:v>25.8</c:v>
                </c:pt>
                <c:pt idx="288">
                  <c:v>24.8</c:v>
                </c:pt>
                <c:pt idx="289">
                  <c:v>31.5</c:v>
                </c:pt>
                <c:pt idx="290">
                  <c:v>33.5</c:v>
                </c:pt>
                <c:pt idx="291">
                  <c:v>28.1</c:v>
                </c:pt>
                <c:pt idx="292">
                  <c:v>24.3</c:v>
                </c:pt>
                <c:pt idx="293">
                  <c:v>35</c:v>
                </c:pt>
                <c:pt idx="294">
                  <c:v>23.5</c:v>
                </c:pt>
                <c:pt idx="295">
                  <c:v>30</c:v>
                </c:pt>
                <c:pt idx="296">
                  <c:v>20.7</c:v>
                </c:pt>
                <c:pt idx="297">
                  <c:v>25.6</c:v>
                </c:pt>
                <c:pt idx="298">
                  <c:v>22.9</c:v>
                </c:pt>
                <c:pt idx="299">
                  <c:v>25.1</c:v>
                </c:pt>
                <c:pt idx="300">
                  <c:v>33.200000000000003</c:v>
                </c:pt>
                <c:pt idx="301">
                  <c:v>24.1</c:v>
                </c:pt>
                <c:pt idx="302">
                  <c:v>29.5</c:v>
                </c:pt>
                <c:pt idx="303">
                  <c:v>29.6</c:v>
                </c:pt>
                <c:pt idx="304">
                  <c:v>22.8</c:v>
                </c:pt>
                <c:pt idx="305">
                  <c:v>22.7</c:v>
                </c:pt>
                <c:pt idx="306">
                  <c:v>26.2</c:v>
                </c:pt>
                <c:pt idx="307">
                  <c:v>23.5</c:v>
                </c:pt>
                <c:pt idx="308">
                  <c:v>22.1</c:v>
                </c:pt>
                <c:pt idx="309">
                  <c:v>26.5</c:v>
                </c:pt>
                <c:pt idx="310">
                  <c:v>32.4</c:v>
                </c:pt>
                <c:pt idx="311">
                  <c:v>30.1</c:v>
                </c:pt>
                <c:pt idx="312">
                  <c:v>24.2</c:v>
                </c:pt>
                <c:pt idx="313">
                  <c:v>31.3</c:v>
                </c:pt>
                <c:pt idx="314">
                  <c:v>30.1</c:v>
                </c:pt>
                <c:pt idx="315">
                  <c:v>24.5</c:v>
                </c:pt>
                <c:pt idx="316">
                  <c:v>27.7</c:v>
                </c:pt>
                <c:pt idx="317">
                  <c:v>23.2</c:v>
                </c:pt>
                <c:pt idx="318">
                  <c:v>27</c:v>
                </c:pt>
                <c:pt idx="319">
                  <c:v>26.8</c:v>
                </c:pt>
                <c:pt idx="320">
                  <c:v>29.2</c:v>
                </c:pt>
                <c:pt idx="321">
                  <c:v>31.2</c:v>
                </c:pt>
                <c:pt idx="322">
                  <c:v>32.1</c:v>
                </c:pt>
                <c:pt idx="323">
                  <c:v>25.7</c:v>
                </c:pt>
                <c:pt idx="324">
                  <c:v>26.9</c:v>
                </c:pt>
                <c:pt idx="325">
                  <c:v>31.4</c:v>
                </c:pt>
                <c:pt idx="326">
                  <c:v>25.6</c:v>
                </c:pt>
                <c:pt idx="327">
                  <c:v>37</c:v>
                </c:pt>
                <c:pt idx="328">
                  <c:v>32.6</c:v>
                </c:pt>
                <c:pt idx="329">
                  <c:v>21.2</c:v>
                </c:pt>
                <c:pt idx="330">
                  <c:v>29.2</c:v>
                </c:pt>
                <c:pt idx="331">
                  <c:v>24</c:v>
                </c:pt>
                <c:pt idx="332">
                  <c:v>36.1</c:v>
                </c:pt>
                <c:pt idx="333">
                  <c:v>25.8</c:v>
                </c:pt>
                <c:pt idx="334">
                  <c:v>22</c:v>
                </c:pt>
                <c:pt idx="335">
                  <c:v>21.9</c:v>
                </c:pt>
                <c:pt idx="336">
                  <c:v>34.299999999999997</c:v>
                </c:pt>
                <c:pt idx="337">
                  <c:v>25.2</c:v>
                </c:pt>
                <c:pt idx="338">
                  <c:v>23.3</c:v>
                </c:pt>
                <c:pt idx="339">
                  <c:v>25.7</c:v>
                </c:pt>
                <c:pt idx="340">
                  <c:v>25.1</c:v>
                </c:pt>
                <c:pt idx="341">
                  <c:v>31.9</c:v>
                </c:pt>
                <c:pt idx="342">
                  <c:v>28.4</c:v>
                </c:pt>
                <c:pt idx="343">
                  <c:v>28.1</c:v>
                </c:pt>
                <c:pt idx="344">
                  <c:v>25.3</c:v>
                </c:pt>
                <c:pt idx="345">
                  <c:v>26.1</c:v>
                </c:pt>
                <c:pt idx="346">
                  <c:v>28</c:v>
                </c:pt>
                <c:pt idx="347">
                  <c:v>23.6</c:v>
                </c:pt>
                <c:pt idx="348">
                  <c:v>24.5</c:v>
                </c:pt>
                <c:pt idx="349">
                  <c:v>21</c:v>
                </c:pt>
                <c:pt idx="350">
                  <c:v>32</c:v>
                </c:pt>
                <c:pt idx="351">
                  <c:v>22.6</c:v>
                </c:pt>
                <c:pt idx="352">
                  <c:v>19.7</c:v>
                </c:pt>
                <c:pt idx="353">
                  <c:v>21.2</c:v>
                </c:pt>
                <c:pt idx="354">
                  <c:v>30.6</c:v>
                </c:pt>
                <c:pt idx="355">
                  <c:v>25.5</c:v>
                </c:pt>
                <c:pt idx="356">
                  <c:v>23.3</c:v>
                </c:pt>
                <c:pt idx="357">
                  <c:v>31</c:v>
                </c:pt>
                <c:pt idx="358">
                  <c:v>18.5</c:v>
                </c:pt>
                <c:pt idx="359">
                  <c:v>26.9</c:v>
                </c:pt>
                <c:pt idx="360">
                  <c:v>28.3</c:v>
                </c:pt>
                <c:pt idx="361">
                  <c:v>25.7</c:v>
                </c:pt>
                <c:pt idx="362">
                  <c:v>36.1</c:v>
                </c:pt>
                <c:pt idx="363">
                  <c:v>24.1</c:v>
                </c:pt>
                <c:pt idx="364">
                  <c:v>25.8</c:v>
                </c:pt>
                <c:pt idx="365">
                  <c:v>22.8</c:v>
                </c:pt>
                <c:pt idx="366">
                  <c:v>39.1</c:v>
                </c:pt>
                <c:pt idx="367">
                  <c:v>42.2</c:v>
                </c:pt>
                <c:pt idx="368">
                  <c:v>26.6</c:v>
                </c:pt>
                <c:pt idx="369">
                  <c:v>29.9</c:v>
                </c:pt>
                <c:pt idx="370">
                  <c:v>21</c:v>
                </c:pt>
                <c:pt idx="371">
                  <c:v>25.5</c:v>
                </c:pt>
                <c:pt idx="372">
                  <c:v>24.2</c:v>
                </c:pt>
                <c:pt idx="373">
                  <c:v>25.4</c:v>
                </c:pt>
                <c:pt idx="374">
                  <c:v>23.2</c:v>
                </c:pt>
                <c:pt idx="375">
                  <c:v>26.1</c:v>
                </c:pt>
                <c:pt idx="376">
                  <c:v>32.700000000000003</c:v>
                </c:pt>
                <c:pt idx="377">
                  <c:v>27.3</c:v>
                </c:pt>
                <c:pt idx="378">
                  <c:v>26.6</c:v>
                </c:pt>
                <c:pt idx="379">
                  <c:v>22.8</c:v>
                </c:pt>
                <c:pt idx="380">
                  <c:v>28.8</c:v>
                </c:pt>
                <c:pt idx="381">
                  <c:v>18.100000000000001</c:v>
                </c:pt>
                <c:pt idx="382">
                  <c:v>32</c:v>
                </c:pt>
                <c:pt idx="383">
                  <c:v>23.7</c:v>
                </c:pt>
                <c:pt idx="384">
                  <c:v>23.6</c:v>
                </c:pt>
                <c:pt idx="385">
                  <c:v>24.6</c:v>
                </c:pt>
                <c:pt idx="386">
                  <c:v>22.6</c:v>
                </c:pt>
                <c:pt idx="387">
                  <c:v>27.8</c:v>
                </c:pt>
                <c:pt idx="388">
                  <c:v>24.1</c:v>
                </c:pt>
                <c:pt idx="389">
                  <c:v>26.5</c:v>
                </c:pt>
                <c:pt idx="390">
                  <c:v>32.799999999999997</c:v>
                </c:pt>
                <c:pt idx="391">
                  <c:v>19.899999999999999</c:v>
                </c:pt>
                <c:pt idx="392">
                  <c:v>23.6</c:v>
                </c:pt>
                <c:pt idx="393">
                  <c:v>22.1</c:v>
                </c:pt>
                <c:pt idx="394">
                  <c:v>28.1</c:v>
                </c:pt>
                <c:pt idx="395">
                  <c:v>26.5</c:v>
                </c:pt>
                <c:pt idx="396">
                  <c:v>23.5</c:v>
                </c:pt>
                <c:pt idx="397">
                  <c:v>26</c:v>
                </c:pt>
                <c:pt idx="398">
                  <c:v>27.8</c:v>
                </c:pt>
                <c:pt idx="399">
                  <c:v>28.5</c:v>
                </c:pt>
                <c:pt idx="400">
                  <c:v>30.6</c:v>
                </c:pt>
                <c:pt idx="401">
                  <c:v>22.2</c:v>
                </c:pt>
                <c:pt idx="402">
                  <c:v>23.3</c:v>
                </c:pt>
                <c:pt idx="403">
                  <c:v>35.4</c:v>
                </c:pt>
                <c:pt idx="404">
                  <c:v>31.4</c:v>
                </c:pt>
                <c:pt idx="405">
                  <c:v>37.799999999999997</c:v>
                </c:pt>
                <c:pt idx="406">
                  <c:v>18.899999999999999</c:v>
                </c:pt>
                <c:pt idx="407">
                  <c:v>35</c:v>
                </c:pt>
                <c:pt idx="408">
                  <c:v>21.7</c:v>
                </c:pt>
                <c:pt idx="409">
                  <c:v>25.3</c:v>
                </c:pt>
                <c:pt idx="410">
                  <c:v>23.8</c:v>
                </c:pt>
                <c:pt idx="411">
                  <c:v>31.8</c:v>
                </c:pt>
                <c:pt idx="412">
                  <c:v>34.299999999999997</c:v>
                </c:pt>
                <c:pt idx="413">
                  <c:v>26.3</c:v>
                </c:pt>
                <c:pt idx="414">
                  <c:v>27</c:v>
                </c:pt>
                <c:pt idx="415">
                  <c:v>27.2</c:v>
                </c:pt>
                <c:pt idx="416">
                  <c:v>33.799999999999997</c:v>
                </c:pt>
                <c:pt idx="417">
                  <c:v>33</c:v>
                </c:pt>
                <c:pt idx="418">
                  <c:v>24.1</c:v>
                </c:pt>
                <c:pt idx="419">
                  <c:v>21.3</c:v>
                </c:pt>
                <c:pt idx="420">
                  <c:v>23</c:v>
                </c:pt>
                <c:pt idx="421">
                  <c:v>27.9</c:v>
                </c:pt>
                <c:pt idx="422">
                  <c:v>33.6</c:v>
                </c:pt>
                <c:pt idx="423">
                  <c:v>22.7</c:v>
                </c:pt>
                <c:pt idx="424">
                  <c:v>27.4</c:v>
                </c:pt>
                <c:pt idx="425">
                  <c:v>22.6</c:v>
                </c:pt>
                <c:pt idx="426">
                  <c:v>23.2</c:v>
                </c:pt>
                <c:pt idx="427">
                  <c:v>26.9</c:v>
                </c:pt>
                <c:pt idx="428">
                  <c:v>34.6</c:v>
                </c:pt>
                <c:pt idx="429">
                  <c:v>23.3</c:v>
                </c:pt>
                <c:pt idx="430">
                  <c:v>21.1</c:v>
                </c:pt>
                <c:pt idx="431">
                  <c:v>23.5</c:v>
                </c:pt>
                <c:pt idx="432">
                  <c:v>31.5</c:v>
                </c:pt>
                <c:pt idx="433">
                  <c:v>20.8</c:v>
                </c:pt>
                <c:pt idx="434">
                  <c:v>26.5</c:v>
                </c:pt>
                <c:pt idx="435">
                  <c:v>24.2</c:v>
                </c:pt>
                <c:pt idx="436">
                  <c:v>19.5</c:v>
                </c:pt>
                <c:pt idx="437">
                  <c:v>28.2</c:v>
                </c:pt>
                <c:pt idx="438">
                  <c:v>24.9</c:v>
                </c:pt>
                <c:pt idx="439">
                  <c:v>24.9</c:v>
                </c:pt>
                <c:pt idx="440">
                  <c:v>30</c:v>
                </c:pt>
                <c:pt idx="441">
                  <c:v>19.600000000000001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32-43F5-932C-3725245E2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544272"/>
        <c:axId val="798545256"/>
      </c:scatterChart>
      <c:valAx>
        <c:axId val="79854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BMI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5256"/>
        <c:crosses val="autoZero"/>
        <c:crossBetween val="midCat"/>
      </c:valAx>
      <c:valAx>
        <c:axId val="7985452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RawData!$G$1</c:f>
              <c:strCache>
                <c:ptCount val="1"/>
                <c:pt idx="0">
                  <c:v>S3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RawData!$G$2:$G$443</c:f>
              <c:numCache>
                <c:formatCode>General</c:formatCode>
                <c:ptCount val="442"/>
                <c:pt idx="0">
                  <c:v>38</c:v>
                </c:pt>
                <c:pt idx="1">
                  <c:v>70</c:v>
                </c:pt>
                <c:pt idx="2">
                  <c:v>41</c:v>
                </c:pt>
                <c:pt idx="3">
                  <c:v>40</c:v>
                </c:pt>
                <c:pt idx="4">
                  <c:v>52</c:v>
                </c:pt>
                <c:pt idx="5">
                  <c:v>61</c:v>
                </c:pt>
                <c:pt idx="6">
                  <c:v>50</c:v>
                </c:pt>
                <c:pt idx="7">
                  <c:v>56</c:v>
                </c:pt>
                <c:pt idx="8">
                  <c:v>42</c:v>
                </c:pt>
                <c:pt idx="9">
                  <c:v>43</c:v>
                </c:pt>
                <c:pt idx="10">
                  <c:v>46</c:v>
                </c:pt>
                <c:pt idx="11">
                  <c:v>32</c:v>
                </c:pt>
                <c:pt idx="12">
                  <c:v>62</c:v>
                </c:pt>
                <c:pt idx="13">
                  <c:v>49</c:v>
                </c:pt>
                <c:pt idx="14">
                  <c:v>72</c:v>
                </c:pt>
                <c:pt idx="15">
                  <c:v>39</c:v>
                </c:pt>
                <c:pt idx="16">
                  <c:v>70</c:v>
                </c:pt>
                <c:pt idx="17">
                  <c:v>39</c:v>
                </c:pt>
                <c:pt idx="18">
                  <c:v>42</c:v>
                </c:pt>
                <c:pt idx="19">
                  <c:v>60</c:v>
                </c:pt>
                <c:pt idx="20">
                  <c:v>50</c:v>
                </c:pt>
                <c:pt idx="21">
                  <c:v>54</c:v>
                </c:pt>
                <c:pt idx="22">
                  <c:v>56</c:v>
                </c:pt>
                <c:pt idx="23">
                  <c:v>35</c:v>
                </c:pt>
                <c:pt idx="24">
                  <c:v>48</c:v>
                </c:pt>
                <c:pt idx="25">
                  <c:v>34</c:v>
                </c:pt>
                <c:pt idx="26">
                  <c:v>57</c:v>
                </c:pt>
                <c:pt idx="27">
                  <c:v>53</c:v>
                </c:pt>
                <c:pt idx="28">
                  <c:v>48</c:v>
                </c:pt>
                <c:pt idx="29">
                  <c:v>64</c:v>
                </c:pt>
                <c:pt idx="30">
                  <c:v>56</c:v>
                </c:pt>
                <c:pt idx="31">
                  <c:v>66</c:v>
                </c:pt>
                <c:pt idx="32">
                  <c:v>22</c:v>
                </c:pt>
                <c:pt idx="33">
                  <c:v>82</c:v>
                </c:pt>
                <c:pt idx="34">
                  <c:v>52</c:v>
                </c:pt>
                <c:pt idx="35">
                  <c:v>86</c:v>
                </c:pt>
                <c:pt idx="36">
                  <c:v>60</c:v>
                </c:pt>
                <c:pt idx="37">
                  <c:v>58</c:v>
                </c:pt>
                <c:pt idx="38">
                  <c:v>44</c:v>
                </c:pt>
                <c:pt idx="39">
                  <c:v>46</c:v>
                </c:pt>
                <c:pt idx="40">
                  <c:v>43</c:v>
                </c:pt>
                <c:pt idx="41">
                  <c:v>54</c:v>
                </c:pt>
                <c:pt idx="42">
                  <c:v>34</c:v>
                </c:pt>
                <c:pt idx="43">
                  <c:v>82</c:v>
                </c:pt>
                <c:pt idx="44">
                  <c:v>29</c:v>
                </c:pt>
                <c:pt idx="45">
                  <c:v>47</c:v>
                </c:pt>
                <c:pt idx="46">
                  <c:v>51</c:v>
                </c:pt>
                <c:pt idx="47">
                  <c:v>43</c:v>
                </c:pt>
                <c:pt idx="48">
                  <c:v>61</c:v>
                </c:pt>
                <c:pt idx="49">
                  <c:v>30</c:v>
                </c:pt>
                <c:pt idx="50">
                  <c:v>49</c:v>
                </c:pt>
                <c:pt idx="51">
                  <c:v>42</c:v>
                </c:pt>
                <c:pt idx="52">
                  <c:v>57</c:v>
                </c:pt>
                <c:pt idx="53">
                  <c:v>54</c:v>
                </c:pt>
                <c:pt idx="54">
                  <c:v>64</c:v>
                </c:pt>
                <c:pt idx="55">
                  <c:v>73</c:v>
                </c:pt>
                <c:pt idx="56">
                  <c:v>40</c:v>
                </c:pt>
                <c:pt idx="57">
                  <c:v>64</c:v>
                </c:pt>
                <c:pt idx="58">
                  <c:v>99</c:v>
                </c:pt>
                <c:pt idx="59">
                  <c:v>58</c:v>
                </c:pt>
                <c:pt idx="60">
                  <c:v>64</c:v>
                </c:pt>
                <c:pt idx="61">
                  <c:v>28</c:v>
                </c:pt>
                <c:pt idx="62">
                  <c:v>66</c:v>
                </c:pt>
                <c:pt idx="63">
                  <c:v>46</c:v>
                </c:pt>
                <c:pt idx="64">
                  <c:v>49</c:v>
                </c:pt>
                <c:pt idx="65">
                  <c:v>35</c:v>
                </c:pt>
                <c:pt idx="66">
                  <c:v>30</c:v>
                </c:pt>
                <c:pt idx="67">
                  <c:v>46</c:v>
                </c:pt>
                <c:pt idx="68">
                  <c:v>47</c:v>
                </c:pt>
                <c:pt idx="69">
                  <c:v>46</c:v>
                </c:pt>
                <c:pt idx="70">
                  <c:v>69</c:v>
                </c:pt>
                <c:pt idx="71">
                  <c:v>47</c:v>
                </c:pt>
                <c:pt idx="72">
                  <c:v>65</c:v>
                </c:pt>
                <c:pt idx="73">
                  <c:v>48</c:v>
                </c:pt>
                <c:pt idx="74">
                  <c:v>61</c:v>
                </c:pt>
                <c:pt idx="75">
                  <c:v>44</c:v>
                </c:pt>
                <c:pt idx="76">
                  <c:v>35</c:v>
                </c:pt>
                <c:pt idx="77">
                  <c:v>54</c:v>
                </c:pt>
                <c:pt idx="78">
                  <c:v>35</c:v>
                </c:pt>
                <c:pt idx="79">
                  <c:v>53</c:v>
                </c:pt>
                <c:pt idx="80">
                  <c:v>64</c:v>
                </c:pt>
                <c:pt idx="81">
                  <c:v>44</c:v>
                </c:pt>
                <c:pt idx="82">
                  <c:v>77</c:v>
                </c:pt>
                <c:pt idx="83">
                  <c:v>47</c:v>
                </c:pt>
                <c:pt idx="84">
                  <c:v>62</c:v>
                </c:pt>
                <c:pt idx="85">
                  <c:v>54</c:v>
                </c:pt>
                <c:pt idx="86">
                  <c:v>39</c:v>
                </c:pt>
                <c:pt idx="87">
                  <c:v>76</c:v>
                </c:pt>
                <c:pt idx="88">
                  <c:v>60</c:v>
                </c:pt>
                <c:pt idx="89">
                  <c:v>68</c:v>
                </c:pt>
                <c:pt idx="90">
                  <c:v>71</c:v>
                </c:pt>
                <c:pt idx="91">
                  <c:v>47</c:v>
                </c:pt>
                <c:pt idx="92">
                  <c:v>67</c:v>
                </c:pt>
                <c:pt idx="93">
                  <c:v>67</c:v>
                </c:pt>
                <c:pt idx="94">
                  <c:v>69</c:v>
                </c:pt>
                <c:pt idx="95">
                  <c:v>38</c:v>
                </c:pt>
                <c:pt idx="96">
                  <c:v>38</c:v>
                </c:pt>
                <c:pt idx="97">
                  <c:v>41</c:v>
                </c:pt>
                <c:pt idx="98">
                  <c:v>52</c:v>
                </c:pt>
                <c:pt idx="99">
                  <c:v>46</c:v>
                </c:pt>
                <c:pt idx="100">
                  <c:v>58</c:v>
                </c:pt>
                <c:pt idx="101">
                  <c:v>67</c:v>
                </c:pt>
                <c:pt idx="102">
                  <c:v>65</c:v>
                </c:pt>
                <c:pt idx="103">
                  <c:v>40</c:v>
                </c:pt>
                <c:pt idx="104">
                  <c:v>56</c:v>
                </c:pt>
                <c:pt idx="105">
                  <c:v>46</c:v>
                </c:pt>
                <c:pt idx="106">
                  <c:v>52</c:v>
                </c:pt>
                <c:pt idx="107">
                  <c:v>34</c:v>
                </c:pt>
                <c:pt idx="108">
                  <c:v>30</c:v>
                </c:pt>
                <c:pt idx="109">
                  <c:v>35</c:v>
                </c:pt>
                <c:pt idx="110">
                  <c:v>58</c:v>
                </c:pt>
                <c:pt idx="111">
                  <c:v>68</c:v>
                </c:pt>
                <c:pt idx="112">
                  <c:v>49</c:v>
                </c:pt>
                <c:pt idx="113">
                  <c:v>37</c:v>
                </c:pt>
                <c:pt idx="114">
                  <c:v>43</c:v>
                </c:pt>
                <c:pt idx="115">
                  <c:v>37</c:v>
                </c:pt>
                <c:pt idx="116">
                  <c:v>44</c:v>
                </c:pt>
                <c:pt idx="117">
                  <c:v>37</c:v>
                </c:pt>
                <c:pt idx="118">
                  <c:v>39</c:v>
                </c:pt>
                <c:pt idx="119">
                  <c:v>59</c:v>
                </c:pt>
                <c:pt idx="120">
                  <c:v>45</c:v>
                </c:pt>
                <c:pt idx="121">
                  <c:v>40</c:v>
                </c:pt>
                <c:pt idx="122">
                  <c:v>35</c:v>
                </c:pt>
                <c:pt idx="123">
                  <c:v>33</c:v>
                </c:pt>
                <c:pt idx="124">
                  <c:v>56</c:v>
                </c:pt>
                <c:pt idx="125">
                  <c:v>40</c:v>
                </c:pt>
                <c:pt idx="126">
                  <c:v>61</c:v>
                </c:pt>
                <c:pt idx="127">
                  <c:v>71</c:v>
                </c:pt>
                <c:pt idx="128">
                  <c:v>58</c:v>
                </c:pt>
                <c:pt idx="129">
                  <c:v>42</c:v>
                </c:pt>
                <c:pt idx="130">
                  <c:v>48</c:v>
                </c:pt>
                <c:pt idx="131">
                  <c:v>54</c:v>
                </c:pt>
                <c:pt idx="132">
                  <c:v>50</c:v>
                </c:pt>
                <c:pt idx="133">
                  <c:v>49</c:v>
                </c:pt>
                <c:pt idx="134">
                  <c:v>67</c:v>
                </c:pt>
                <c:pt idx="135">
                  <c:v>30</c:v>
                </c:pt>
                <c:pt idx="136">
                  <c:v>63</c:v>
                </c:pt>
                <c:pt idx="137">
                  <c:v>48</c:v>
                </c:pt>
                <c:pt idx="138">
                  <c:v>44</c:v>
                </c:pt>
                <c:pt idx="139">
                  <c:v>42</c:v>
                </c:pt>
                <c:pt idx="140">
                  <c:v>38</c:v>
                </c:pt>
                <c:pt idx="141">
                  <c:v>28</c:v>
                </c:pt>
                <c:pt idx="142">
                  <c:v>51</c:v>
                </c:pt>
                <c:pt idx="143">
                  <c:v>70</c:v>
                </c:pt>
                <c:pt idx="144">
                  <c:v>34</c:v>
                </c:pt>
                <c:pt idx="145">
                  <c:v>53</c:v>
                </c:pt>
                <c:pt idx="146">
                  <c:v>38</c:v>
                </c:pt>
                <c:pt idx="147">
                  <c:v>42</c:v>
                </c:pt>
                <c:pt idx="148">
                  <c:v>55</c:v>
                </c:pt>
                <c:pt idx="149">
                  <c:v>31</c:v>
                </c:pt>
                <c:pt idx="150">
                  <c:v>41</c:v>
                </c:pt>
                <c:pt idx="151">
                  <c:v>64</c:v>
                </c:pt>
                <c:pt idx="152">
                  <c:v>32</c:v>
                </c:pt>
                <c:pt idx="153">
                  <c:v>46</c:v>
                </c:pt>
                <c:pt idx="154">
                  <c:v>49</c:v>
                </c:pt>
                <c:pt idx="155">
                  <c:v>49</c:v>
                </c:pt>
                <c:pt idx="156">
                  <c:v>53</c:v>
                </c:pt>
                <c:pt idx="157">
                  <c:v>46</c:v>
                </c:pt>
                <c:pt idx="158">
                  <c:v>49</c:v>
                </c:pt>
                <c:pt idx="159">
                  <c:v>46</c:v>
                </c:pt>
                <c:pt idx="160">
                  <c:v>51</c:v>
                </c:pt>
                <c:pt idx="161">
                  <c:v>39</c:v>
                </c:pt>
                <c:pt idx="162">
                  <c:v>49</c:v>
                </c:pt>
                <c:pt idx="163">
                  <c:v>48</c:v>
                </c:pt>
                <c:pt idx="164">
                  <c:v>77</c:v>
                </c:pt>
                <c:pt idx="165">
                  <c:v>63</c:v>
                </c:pt>
                <c:pt idx="166">
                  <c:v>46</c:v>
                </c:pt>
                <c:pt idx="167">
                  <c:v>40</c:v>
                </c:pt>
                <c:pt idx="168">
                  <c:v>34</c:v>
                </c:pt>
                <c:pt idx="169">
                  <c:v>37</c:v>
                </c:pt>
                <c:pt idx="170">
                  <c:v>66</c:v>
                </c:pt>
                <c:pt idx="171">
                  <c:v>45</c:v>
                </c:pt>
                <c:pt idx="172">
                  <c:v>45</c:v>
                </c:pt>
                <c:pt idx="173">
                  <c:v>47</c:v>
                </c:pt>
                <c:pt idx="174">
                  <c:v>39</c:v>
                </c:pt>
                <c:pt idx="175">
                  <c:v>52</c:v>
                </c:pt>
                <c:pt idx="176">
                  <c:v>52</c:v>
                </c:pt>
                <c:pt idx="177">
                  <c:v>33</c:v>
                </c:pt>
                <c:pt idx="178">
                  <c:v>69</c:v>
                </c:pt>
                <c:pt idx="179">
                  <c:v>38</c:v>
                </c:pt>
                <c:pt idx="180">
                  <c:v>37</c:v>
                </c:pt>
                <c:pt idx="181">
                  <c:v>59</c:v>
                </c:pt>
                <c:pt idx="182">
                  <c:v>39</c:v>
                </c:pt>
                <c:pt idx="183">
                  <c:v>47</c:v>
                </c:pt>
                <c:pt idx="184">
                  <c:v>41</c:v>
                </c:pt>
                <c:pt idx="185">
                  <c:v>32</c:v>
                </c:pt>
                <c:pt idx="186">
                  <c:v>31</c:v>
                </c:pt>
                <c:pt idx="187">
                  <c:v>63</c:v>
                </c:pt>
                <c:pt idx="188">
                  <c:v>62</c:v>
                </c:pt>
                <c:pt idx="189">
                  <c:v>53</c:v>
                </c:pt>
                <c:pt idx="190">
                  <c:v>37</c:v>
                </c:pt>
                <c:pt idx="191">
                  <c:v>41</c:v>
                </c:pt>
                <c:pt idx="192">
                  <c:v>59</c:v>
                </c:pt>
                <c:pt idx="193">
                  <c:v>39</c:v>
                </c:pt>
                <c:pt idx="194">
                  <c:v>47</c:v>
                </c:pt>
                <c:pt idx="195">
                  <c:v>39</c:v>
                </c:pt>
                <c:pt idx="196">
                  <c:v>60</c:v>
                </c:pt>
                <c:pt idx="197">
                  <c:v>35</c:v>
                </c:pt>
                <c:pt idx="198">
                  <c:v>46</c:v>
                </c:pt>
                <c:pt idx="199">
                  <c:v>60</c:v>
                </c:pt>
                <c:pt idx="200">
                  <c:v>65</c:v>
                </c:pt>
                <c:pt idx="201">
                  <c:v>60</c:v>
                </c:pt>
                <c:pt idx="202">
                  <c:v>55</c:v>
                </c:pt>
                <c:pt idx="203">
                  <c:v>39</c:v>
                </c:pt>
                <c:pt idx="204">
                  <c:v>37</c:v>
                </c:pt>
                <c:pt idx="205">
                  <c:v>50</c:v>
                </c:pt>
                <c:pt idx="206">
                  <c:v>44</c:v>
                </c:pt>
                <c:pt idx="207">
                  <c:v>57</c:v>
                </c:pt>
                <c:pt idx="208">
                  <c:v>42</c:v>
                </c:pt>
                <c:pt idx="209">
                  <c:v>29</c:v>
                </c:pt>
                <c:pt idx="210">
                  <c:v>69</c:v>
                </c:pt>
                <c:pt idx="211">
                  <c:v>50</c:v>
                </c:pt>
                <c:pt idx="212">
                  <c:v>69</c:v>
                </c:pt>
                <c:pt idx="213">
                  <c:v>57</c:v>
                </c:pt>
                <c:pt idx="214">
                  <c:v>78</c:v>
                </c:pt>
                <c:pt idx="215">
                  <c:v>38</c:v>
                </c:pt>
                <c:pt idx="216">
                  <c:v>31</c:v>
                </c:pt>
                <c:pt idx="217">
                  <c:v>54</c:v>
                </c:pt>
                <c:pt idx="218">
                  <c:v>38</c:v>
                </c:pt>
                <c:pt idx="219">
                  <c:v>52</c:v>
                </c:pt>
                <c:pt idx="220">
                  <c:v>53</c:v>
                </c:pt>
                <c:pt idx="221">
                  <c:v>41</c:v>
                </c:pt>
                <c:pt idx="222">
                  <c:v>44</c:v>
                </c:pt>
                <c:pt idx="223">
                  <c:v>53</c:v>
                </c:pt>
                <c:pt idx="224">
                  <c:v>50</c:v>
                </c:pt>
                <c:pt idx="225">
                  <c:v>31</c:v>
                </c:pt>
                <c:pt idx="226">
                  <c:v>58</c:v>
                </c:pt>
                <c:pt idx="227">
                  <c:v>70</c:v>
                </c:pt>
                <c:pt idx="228">
                  <c:v>53</c:v>
                </c:pt>
                <c:pt idx="229">
                  <c:v>61</c:v>
                </c:pt>
                <c:pt idx="230">
                  <c:v>50</c:v>
                </c:pt>
                <c:pt idx="231">
                  <c:v>51</c:v>
                </c:pt>
                <c:pt idx="232">
                  <c:v>39</c:v>
                </c:pt>
                <c:pt idx="233">
                  <c:v>63</c:v>
                </c:pt>
                <c:pt idx="234">
                  <c:v>52</c:v>
                </c:pt>
                <c:pt idx="235">
                  <c:v>33</c:v>
                </c:pt>
                <c:pt idx="236">
                  <c:v>54</c:v>
                </c:pt>
                <c:pt idx="237">
                  <c:v>62</c:v>
                </c:pt>
                <c:pt idx="238">
                  <c:v>29</c:v>
                </c:pt>
                <c:pt idx="239">
                  <c:v>67</c:v>
                </c:pt>
                <c:pt idx="240">
                  <c:v>38</c:v>
                </c:pt>
                <c:pt idx="241">
                  <c:v>52</c:v>
                </c:pt>
                <c:pt idx="242">
                  <c:v>45</c:v>
                </c:pt>
                <c:pt idx="243">
                  <c:v>47</c:v>
                </c:pt>
                <c:pt idx="244">
                  <c:v>56</c:v>
                </c:pt>
                <c:pt idx="245">
                  <c:v>58</c:v>
                </c:pt>
                <c:pt idx="246">
                  <c:v>65</c:v>
                </c:pt>
                <c:pt idx="247">
                  <c:v>69</c:v>
                </c:pt>
                <c:pt idx="248">
                  <c:v>43</c:v>
                </c:pt>
                <c:pt idx="249">
                  <c:v>45</c:v>
                </c:pt>
                <c:pt idx="250">
                  <c:v>41</c:v>
                </c:pt>
                <c:pt idx="251">
                  <c:v>34</c:v>
                </c:pt>
                <c:pt idx="252">
                  <c:v>38</c:v>
                </c:pt>
                <c:pt idx="253">
                  <c:v>45</c:v>
                </c:pt>
                <c:pt idx="254">
                  <c:v>40</c:v>
                </c:pt>
                <c:pt idx="255">
                  <c:v>61</c:v>
                </c:pt>
                <c:pt idx="256">
                  <c:v>37</c:v>
                </c:pt>
                <c:pt idx="257">
                  <c:v>64</c:v>
                </c:pt>
                <c:pt idx="258">
                  <c:v>31</c:v>
                </c:pt>
                <c:pt idx="259">
                  <c:v>42.5</c:v>
                </c:pt>
                <c:pt idx="260">
                  <c:v>91</c:v>
                </c:pt>
                <c:pt idx="261">
                  <c:v>98</c:v>
                </c:pt>
                <c:pt idx="262">
                  <c:v>44</c:v>
                </c:pt>
                <c:pt idx="263">
                  <c:v>51</c:v>
                </c:pt>
                <c:pt idx="264">
                  <c:v>36</c:v>
                </c:pt>
                <c:pt idx="265">
                  <c:v>52</c:v>
                </c:pt>
                <c:pt idx="266">
                  <c:v>83</c:v>
                </c:pt>
                <c:pt idx="267">
                  <c:v>51</c:v>
                </c:pt>
                <c:pt idx="268">
                  <c:v>36</c:v>
                </c:pt>
                <c:pt idx="269">
                  <c:v>93</c:v>
                </c:pt>
                <c:pt idx="270">
                  <c:v>54</c:v>
                </c:pt>
                <c:pt idx="271">
                  <c:v>39</c:v>
                </c:pt>
                <c:pt idx="272">
                  <c:v>44</c:v>
                </c:pt>
                <c:pt idx="273">
                  <c:v>40</c:v>
                </c:pt>
                <c:pt idx="274">
                  <c:v>46</c:v>
                </c:pt>
                <c:pt idx="275">
                  <c:v>44</c:v>
                </c:pt>
                <c:pt idx="276">
                  <c:v>67</c:v>
                </c:pt>
                <c:pt idx="277">
                  <c:v>68</c:v>
                </c:pt>
                <c:pt idx="278">
                  <c:v>35</c:v>
                </c:pt>
                <c:pt idx="279">
                  <c:v>54</c:v>
                </c:pt>
                <c:pt idx="280">
                  <c:v>55</c:v>
                </c:pt>
                <c:pt idx="281">
                  <c:v>48</c:v>
                </c:pt>
                <c:pt idx="282">
                  <c:v>53</c:v>
                </c:pt>
                <c:pt idx="283">
                  <c:v>55</c:v>
                </c:pt>
                <c:pt idx="284">
                  <c:v>33</c:v>
                </c:pt>
                <c:pt idx="285">
                  <c:v>29</c:v>
                </c:pt>
                <c:pt idx="286">
                  <c:v>88</c:v>
                </c:pt>
                <c:pt idx="287">
                  <c:v>55</c:v>
                </c:pt>
                <c:pt idx="288">
                  <c:v>60</c:v>
                </c:pt>
                <c:pt idx="289">
                  <c:v>38</c:v>
                </c:pt>
                <c:pt idx="290">
                  <c:v>35</c:v>
                </c:pt>
                <c:pt idx="291">
                  <c:v>52</c:v>
                </c:pt>
                <c:pt idx="292">
                  <c:v>71</c:v>
                </c:pt>
                <c:pt idx="293">
                  <c:v>50</c:v>
                </c:pt>
                <c:pt idx="294">
                  <c:v>41</c:v>
                </c:pt>
                <c:pt idx="295">
                  <c:v>53</c:v>
                </c:pt>
                <c:pt idx="296">
                  <c:v>59</c:v>
                </c:pt>
                <c:pt idx="297">
                  <c:v>51</c:v>
                </c:pt>
                <c:pt idx="298">
                  <c:v>41</c:v>
                </c:pt>
                <c:pt idx="299">
                  <c:v>46</c:v>
                </c:pt>
                <c:pt idx="300">
                  <c:v>46</c:v>
                </c:pt>
                <c:pt idx="301">
                  <c:v>58</c:v>
                </c:pt>
                <c:pt idx="302">
                  <c:v>49</c:v>
                </c:pt>
                <c:pt idx="303">
                  <c:v>56</c:v>
                </c:pt>
                <c:pt idx="304">
                  <c:v>39</c:v>
                </c:pt>
                <c:pt idx="305">
                  <c:v>32</c:v>
                </c:pt>
                <c:pt idx="306">
                  <c:v>48</c:v>
                </c:pt>
                <c:pt idx="307">
                  <c:v>42</c:v>
                </c:pt>
                <c:pt idx="308">
                  <c:v>62</c:v>
                </c:pt>
                <c:pt idx="309">
                  <c:v>59</c:v>
                </c:pt>
                <c:pt idx="310">
                  <c:v>46</c:v>
                </c:pt>
                <c:pt idx="311">
                  <c:v>44</c:v>
                </c:pt>
                <c:pt idx="312">
                  <c:v>54</c:v>
                </c:pt>
                <c:pt idx="313">
                  <c:v>47</c:v>
                </c:pt>
                <c:pt idx="314">
                  <c:v>49</c:v>
                </c:pt>
                <c:pt idx="315">
                  <c:v>65</c:v>
                </c:pt>
                <c:pt idx="316">
                  <c:v>41</c:v>
                </c:pt>
                <c:pt idx="317">
                  <c:v>48</c:v>
                </c:pt>
                <c:pt idx="318">
                  <c:v>67</c:v>
                </c:pt>
                <c:pt idx="319">
                  <c:v>67</c:v>
                </c:pt>
                <c:pt idx="320">
                  <c:v>45</c:v>
                </c:pt>
                <c:pt idx="321">
                  <c:v>29</c:v>
                </c:pt>
                <c:pt idx="322">
                  <c:v>25</c:v>
                </c:pt>
                <c:pt idx="323">
                  <c:v>35</c:v>
                </c:pt>
                <c:pt idx="324">
                  <c:v>38</c:v>
                </c:pt>
                <c:pt idx="325">
                  <c:v>38</c:v>
                </c:pt>
                <c:pt idx="326">
                  <c:v>39</c:v>
                </c:pt>
                <c:pt idx="327">
                  <c:v>55</c:v>
                </c:pt>
                <c:pt idx="328">
                  <c:v>47</c:v>
                </c:pt>
                <c:pt idx="329">
                  <c:v>55</c:v>
                </c:pt>
                <c:pt idx="330">
                  <c:v>32</c:v>
                </c:pt>
                <c:pt idx="331">
                  <c:v>39</c:v>
                </c:pt>
                <c:pt idx="332">
                  <c:v>34</c:v>
                </c:pt>
                <c:pt idx="333">
                  <c:v>34</c:v>
                </c:pt>
                <c:pt idx="334">
                  <c:v>48</c:v>
                </c:pt>
                <c:pt idx="335">
                  <c:v>67</c:v>
                </c:pt>
                <c:pt idx="336">
                  <c:v>33</c:v>
                </c:pt>
                <c:pt idx="337">
                  <c:v>39</c:v>
                </c:pt>
                <c:pt idx="338">
                  <c:v>43</c:v>
                </c:pt>
                <c:pt idx="339">
                  <c:v>59</c:v>
                </c:pt>
                <c:pt idx="340">
                  <c:v>55</c:v>
                </c:pt>
                <c:pt idx="341">
                  <c:v>41</c:v>
                </c:pt>
                <c:pt idx="342">
                  <c:v>41</c:v>
                </c:pt>
                <c:pt idx="343">
                  <c:v>60</c:v>
                </c:pt>
                <c:pt idx="344">
                  <c:v>46</c:v>
                </c:pt>
                <c:pt idx="345">
                  <c:v>47</c:v>
                </c:pt>
                <c:pt idx="346">
                  <c:v>44</c:v>
                </c:pt>
                <c:pt idx="347">
                  <c:v>51</c:v>
                </c:pt>
                <c:pt idx="348">
                  <c:v>71</c:v>
                </c:pt>
                <c:pt idx="349">
                  <c:v>23</c:v>
                </c:pt>
                <c:pt idx="350">
                  <c:v>49</c:v>
                </c:pt>
                <c:pt idx="351">
                  <c:v>48</c:v>
                </c:pt>
                <c:pt idx="352">
                  <c:v>82</c:v>
                </c:pt>
                <c:pt idx="353">
                  <c:v>52</c:v>
                </c:pt>
                <c:pt idx="354">
                  <c:v>50</c:v>
                </c:pt>
                <c:pt idx="355">
                  <c:v>46</c:v>
                </c:pt>
                <c:pt idx="356">
                  <c:v>54</c:v>
                </c:pt>
                <c:pt idx="357">
                  <c:v>45</c:v>
                </c:pt>
                <c:pt idx="358">
                  <c:v>61</c:v>
                </c:pt>
                <c:pt idx="359">
                  <c:v>43</c:v>
                </c:pt>
                <c:pt idx="360">
                  <c:v>48</c:v>
                </c:pt>
                <c:pt idx="361">
                  <c:v>64</c:v>
                </c:pt>
                <c:pt idx="362">
                  <c:v>43</c:v>
                </c:pt>
                <c:pt idx="363">
                  <c:v>32</c:v>
                </c:pt>
                <c:pt idx="364">
                  <c:v>39</c:v>
                </c:pt>
                <c:pt idx="365">
                  <c:v>48</c:v>
                </c:pt>
                <c:pt idx="366">
                  <c:v>38</c:v>
                </c:pt>
                <c:pt idx="367">
                  <c:v>44</c:v>
                </c:pt>
                <c:pt idx="368">
                  <c:v>43</c:v>
                </c:pt>
                <c:pt idx="369">
                  <c:v>38</c:v>
                </c:pt>
                <c:pt idx="370">
                  <c:v>70</c:v>
                </c:pt>
                <c:pt idx="371">
                  <c:v>46</c:v>
                </c:pt>
                <c:pt idx="372">
                  <c:v>57</c:v>
                </c:pt>
                <c:pt idx="373">
                  <c:v>49</c:v>
                </c:pt>
                <c:pt idx="374">
                  <c:v>52</c:v>
                </c:pt>
                <c:pt idx="375">
                  <c:v>57</c:v>
                </c:pt>
                <c:pt idx="376">
                  <c:v>43</c:v>
                </c:pt>
                <c:pt idx="377">
                  <c:v>33</c:v>
                </c:pt>
                <c:pt idx="378">
                  <c:v>36</c:v>
                </c:pt>
                <c:pt idx="379">
                  <c:v>56</c:v>
                </c:pt>
                <c:pt idx="380">
                  <c:v>46</c:v>
                </c:pt>
                <c:pt idx="381">
                  <c:v>41</c:v>
                </c:pt>
                <c:pt idx="382">
                  <c:v>38</c:v>
                </c:pt>
                <c:pt idx="383">
                  <c:v>52</c:v>
                </c:pt>
                <c:pt idx="384">
                  <c:v>59</c:v>
                </c:pt>
                <c:pt idx="385">
                  <c:v>51</c:v>
                </c:pt>
                <c:pt idx="386">
                  <c:v>64</c:v>
                </c:pt>
                <c:pt idx="387">
                  <c:v>42</c:v>
                </c:pt>
                <c:pt idx="388">
                  <c:v>44</c:v>
                </c:pt>
                <c:pt idx="389">
                  <c:v>63</c:v>
                </c:pt>
                <c:pt idx="390">
                  <c:v>37</c:v>
                </c:pt>
                <c:pt idx="391">
                  <c:v>55</c:v>
                </c:pt>
                <c:pt idx="392">
                  <c:v>53</c:v>
                </c:pt>
                <c:pt idx="393">
                  <c:v>54</c:v>
                </c:pt>
                <c:pt idx="394">
                  <c:v>31</c:v>
                </c:pt>
                <c:pt idx="395">
                  <c:v>53</c:v>
                </c:pt>
                <c:pt idx="396">
                  <c:v>55</c:v>
                </c:pt>
                <c:pt idx="397">
                  <c:v>46</c:v>
                </c:pt>
                <c:pt idx="398">
                  <c:v>49</c:v>
                </c:pt>
                <c:pt idx="399">
                  <c:v>46</c:v>
                </c:pt>
                <c:pt idx="400">
                  <c:v>69</c:v>
                </c:pt>
                <c:pt idx="401">
                  <c:v>70</c:v>
                </c:pt>
                <c:pt idx="402">
                  <c:v>33</c:v>
                </c:pt>
                <c:pt idx="403">
                  <c:v>44</c:v>
                </c:pt>
                <c:pt idx="404">
                  <c:v>52</c:v>
                </c:pt>
                <c:pt idx="405">
                  <c:v>31</c:v>
                </c:pt>
                <c:pt idx="406">
                  <c:v>59</c:v>
                </c:pt>
                <c:pt idx="407">
                  <c:v>42</c:v>
                </c:pt>
                <c:pt idx="408">
                  <c:v>45</c:v>
                </c:pt>
                <c:pt idx="409">
                  <c:v>39</c:v>
                </c:pt>
                <c:pt idx="410">
                  <c:v>42</c:v>
                </c:pt>
                <c:pt idx="411">
                  <c:v>55</c:v>
                </c:pt>
                <c:pt idx="412">
                  <c:v>54</c:v>
                </c:pt>
                <c:pt idx="413">
                  <c:v>63</c:v>
                </c:pt>
                <c:pt idx="414">
                  <c:v>41</c:v>
                </c:pt>
                <c:pt idx="415">
                  <c:v>38</c:v>
                </c:pt>
                <c:pt idx="416">
                  <c:v>45</c:v>
                </c:pt>
                <c:pt idx="417">
                  <c:v>51</c:v>
                </c:pt>
                <c:pt idx="418">
                  <c:v>69</c:v>
                </c:pt>
                <c:pt idx="419">
                  <c:v>53</c:v>
                </c:pt>
                <c:pt idx="420">
                  <c:v>38</c:v>
                </c:pt>
                <c:pt idx="421">
                  <c:v>38</c:v>
                </c:pt>
                <c:pt idx="422">
                  <c:v>57</c:v>
                </c:pt>
                <c:pt idx="423">
                  <c:v>30</c:v>
                </c:pt>
                <c:pt idx="424">
                  <c:v>37</c:v>
                </c:pt>
                <c:pt idx="425">
                  <c:v>56</c:v>
                </c:pt>
                <c:pt idx="426">
                  <c:v>41</c:v>
                </c:pt>
                <c:pt idx="427">
                  <c:v>48</c:v>
                </c:pt>
                <c:pt idx="428">
                  <c:v>43</c:v>
                </c:pt>
                <c:pt idx="429">
                  <c:v>65</c:v>
                </c:pt>
                <c:pt idx="430">
                  <c:v>42</c:v>
                </c:pt>
                <c:pt idx="431">
                  <c:v>59</c:v>
                </c:pt>
                <c:pt idx="432">
                  <c:v>49</c:v>
                </c:pt>
                <c:pt idx="433">
                  <c:v>83</c:v>
                </c:pt>
                <c:pt idx="434">
                  <c:v>58</c:v>
                </c:pt>
                <c:pt idx="435">
                  <c:v>45</c:v>
                </c:pt>
                <c:pt idx="436">
                  <c:v>75</c:v>
                </c:pt>
                <c:pt idx="437">
                  <c:v>42</c:v>
                </c:pt>
                <c:pt idx="438">
                  <c:v>42</c:v>
                </c:pt>
                <c:pt idx="439">
                  <c:v>43</c:v>
                </c:pt>
                <c:pt idx="440">
                  <c:v>42</c:v>
                </c:pt>
                <c:pt idx="441">
                  <c:v>97</c:v>
                </c:pt>
              </c:numCache>
            </c:numRef>
          </c:xVal>
          <c:yVal>
            <c:numRef>
              <c:f>RawData!$K$2:$K$443</c:f>
              <c:numCache>
                <c:formatCode>General</c:formatCode>
                <c:ptCount val="442"/>
                <c:pt idx="0">
                  <c:v>151</c:v>
                </c:pt>
                <c:pt idx="1">
                  <c:v>75</c:v>
                </c:pt>
                <c:pt idx="2">
                  <c:v>141</c:v>
                </c:pt>
                <c:pt idx="3">
                  <c:v>206</c:v>
                </c:pt>
                <c:pt idx="4">
                  <c:v>135</c:v>
                </c:pt>
                <c:pt idx="5">
                  <c:v>97</c:v>
                </c:pt>
                <c:pt idx="6">
                  <c:v>138</c:v>
                </c:pt>
                <c:pt idx="7">
                  <c:v>63</c:v>
                </c:pt>
                <c:pt idx="8">
                  <c:v>110</c:v>
                </c:pt>
                <c:pt idx="9">
                  <c:v>310</c:v>
                </c:pt>
                <c:pt idx="10">
                  <c:v>101</c:v>
                </c:pt>
                <c:pt idx="11">
                  <c:v>69</c:v>
                </c:pt>
                <c:pt idx="12">
                  <c:v>179</c:v>
                </c:pt>
                <c:pt idx="13">
                  <c:v>185</c:v>
                </c:pt>
                <c:pt idx="14">
                  <c:v>118</c:v>
                </c:pt>
                <c:pt idx="15">
                  <c:v>171</c:v>
                </c:pt>
                <c:pt idx="16">
                  <c:v>166</c:v>
                </c:pt>
                <c:pt idx="17">
                  <c:v>144</c:v>
                </c:pt>
                <c:pt idx="18">
                  <c:v>97</c:v>
                </c:pt>
                <c:pt idx="19">
                  <c:v>168</c:v>
                </c:pt>
                <c:pt idx="20">
                  <c:v>68</c:v>
                </c:pt>
                <c:pt idx="21">
                  <c:v>49</c:v>
                </c:pt>
                <c:pt idx="22">
                  <c:v>68</c:v>
                </c:pt>
                <c:pt idx="23">
                  <c:v>245</c:v>
                </c:pt>
                <c:pt idx="24">
                  <c:v>184</c:v>
                </c:pt>
                <c:pt idx="25">
                  <c:v>202</c:v>
                </c:pt>
                <c:pt idx="26">
                  <c:v>137</c:v>
                </c:pt>
                <c:pt idx="27">
                  <c:v>85</c:v>
                </c:pt>
                <c:pt idx="28">
                  <c:v>131</c:v>
                </c:pt>
                <c:pt idx="29">
                  <c:v>283</c:v>
                </c:pt>
                <c:pt idx="30">
                  <c:v>129</c:v>
                </c:pt>
                <c:pt idx="31">
                  <c:v>59</c:v>
                </c:pt>
                <c:pt idx="32">
                  <c:v>341</c:v>
                </c:pt>
                <c:pt idx="33">
                  <c:v>87</c:v>
                </c:pt>
                <c:pt idx="34">
                  <c:v>65</c:v>
                </c:pt>
                <c:pt idx="35">
                  <c:v>102</c:v>
                </c:pt>
                <c:pt idx="36">
                  <c:v>265</c:v>
                </c:pt>
                <c:pt idx="37">
                  <c:v>276</c:v>
                </c:pt>
                <c:pt idx="38">
                  <c:v>252</c:v>
                </c:pt>
                <c:pt idx="39">
                  <c:v>90</c:v>
                </c:pt>
                <c:pt idx="40">
                  <c:v>100</c:v>
                </c:pt>
                <c:pt idx="41">
                  <c:v>55</c:v>
                </c:pt>
                <c:pt idx="42">
                  <c:v>61</c:v>
                </c:pt>
                <c:pt idx="43">
                  <c:v>92</c:v>
                </c:pt>
                <c:pt idx="44">
                  <c:v>259</c:v>
                </c:pt>
                <c:pt idx="45">
                  <c:v>53</c:v>
                </c:pt>
                <c:pt idx="46">
                  <c:v>190</c:v>
                </c:pt>
                <c:pt idx="47">
                  <c:v>142</c:v>
                </c:pt>
                <c:pt idx="48">
                  <c:v>75</c:v>
                </c:pt>
                <c:pt idx="49">
                  <c:v>142</c:v>
                </c:pt>
                <c:pt idx="50">
                  <c:v>155</c:v>
                </c:pt>
                <c:pt idx="51">
                  <c:v>225</c:v>
                </c:pt>
                <c:pt idx="52">
                  <c:v>59</c:v>
                </c:pt>
                <c:pt idx="53">
                  <c:v>104</c:v>
                </c:pt>
                <c:pt idx="54">
                  <c:v>182</c:v>
                </c:pt>
                <c:pt idx="55">
                  <c:v>128</c:v>
                </c:pt>
                <c:pt idx="56">
                  <c:v>52</c:v>
                </c:pt>
                <c:pt idx="57">
                  <c:v>37</c:v>
                </c:pt>
                <c:pt idx="58">
                  <c:v>170</c:v>
                </c:pt>
                <c:pt idx="59">
                  <c:v>170</c:v>
                </c:pt>
                <c:pt idx="60">
                  <c:v>61</c:v>
                </c:pt>
                <c:pt idx="61">
                  <c:v>144</c:v>
                </c:pt>
                <c:pt idx="62">
                  <c:v>52</c:v>
                </c:pt>
                <c:pt idx="63">
                  <c:v>128</c:v>
                </c:pt>
                <c:pt idx="64">
                  <c:v>71</c:v>
                </c:pt>
                <c:pt idx="65">
                  <c:v>163</c:v>
                </c:pt>
                <c:pt idx="66">
                  <c:v>150</c:v>
                </c:pt>
                <c:pt idx="67">
                  <c:v>97</c:v>
                </c:pt>
                <c:pt idx="68">
                  <c:v>160</c:v>
                </c:pt>
                <c:pt idx="69">
                  <c:v>178</c:v>
                </c:pt>
                <c:pt idx="70">
                  <c:v>48</c:v>
                </c:pt>
                <c:pt idx="71">
                  <c:v>270</c:v>
                </c:pt>
                <c:pt idx="72">
                  <c:v>202</c:v>
                </c:pt>
                <c:pt idx="73">
                  <c:v>111</c:v>
                </c:pt>
                <c:pt idx="74">
                  <c:v>85</c:v>
                </c:pt>
                <c:pt idx="75">
                  <c:v>42</c:v>
                </c:pt>
                <c:pt idx="76">
                  <c:v>170</c:v>
                </c:pt>
                <c:pt idx="77">
                  <c:v>200</c:v>
                </c:pt>
                <c:pt idx="78">
                  <c:v>252</c:v>
                </c:pt>
                <c:pt idx="79">
                  <c:v>113</c:v>
                </c:pt>
                <c:pt idx="80">
                  <c:v>143</c:v>
                </c:pt>
                <c:pt idx="81">
                  <c:v>51</c:v>
                </c:pt>
                <c:pt idx="82">
                  <c:v>52</c:v>
                </c:pt>
                <c:pt idx="83">
                  <c:v>210</c:v>
                </c:pt>
                <c:pt idx="84">
                  <c:v>65</c:v>
                </c:pt>
                <c:pt idx="85">
                  <c:v>141</c:v>
                </c:pt>
                <c:pt idx="86">
                  <c:v>55</c:v>
                </c:pt>
                <c:pt idx="87">
                  <c:v>134</c:v>
                </c:pt>
                <c:pt idx="88">
                  <c:v>42</c:v>
                </c:pt>
                <c:pt idx="89">
                  <c:v>111</c:v>
                </c:pt>
                <c:pt idx="90">
                  <c:v>98</c:v>
                </c:pt>
                <c:pt idx="91">
                  <c:v>164</c:v>
                </c:pt>
                <c:pt idx="92">
                  <c:v>48</c:v>
                </c:pt>
                <c:pt idx="93">
                  <c:v>96</c:v>
                </c:pt>
                <c:pt idx="94">
                  <c:v>90</c:v>
                </c:pt>
                <c:pt idx="95">
                  <c:v>162</c:v>
                </c:pt>
                <c:pt idx="96">
                  <c:v>150</c:v>
                </c:pt>
                <c:pt idx="97">
                  <c:v>279</c:v>
                </c:pt>
                <c:pt idx="98">
                  <c:v>92</c:v>
                </c:pt>
                <c:pt idx="99">
                  <c:v>83</c:v>
                </c:pt>
                <c:pt idx="100">
                  <c:v>128</c:v>
                </c:pt>
                <c:pt idx="101">
                  <c:v>102</c:v>
                </c:pt>
                <c:pt idx="102">
                  <c:v>302</c:v>
                </c:pt>
                <c:pt idx="103">
                  <c:v>198</c:v>
                </c:pt>
                <c:pt idx="104">
                  <c:v>95</c:v>
                </c:pt>
                <c:pt idx="105">
                  <c:v>53</c:v>
                </c:pt>
                <c:pt idx="106">
                  <c:v>134</c:v>
                </c:pt>
                <c:pt idx="107">
                  <c:v>144</c:v>
                </c:pt>
                <c:pt idx="108">
                  <c:v>232</c:v>
                </c:pt>
                <c:pt idx="109">
                  <c:v>81</c:v>
                </c:pt>
                <c:pt idx="110">
                  <c:v>104</c:v>
                </c:pt>
                <c:pt idx="111">
                  <c:v>59</c:v>
                </c:pt>
                <c:pt idx="112">
                  <c:v>246</c:v>
                </c:pt>
                <c:pt idx="113">
                  <c:v>297</c:v>
                </c:pt>
                <c:pt idx="114">
                  <c:v>258</c:v>
                </c:pt>
                <c:pt idx="115">
                  <c:v>229</c:v>
                </c:pt>
                <c:pt idx="116">
                  <c:v>275</c:v>
                </c:pt>
                <c:pt idx="117">
                  <c:v>281</c:v>
                </c:pt>
                <c:pt idx="118">
                  <c:v>179</c:v>
                </c:pt>
                <c:pt idx="119">
                  <c:v>200</c:v>
                </c:pt>
                <c:pt idx="120">
                  <c:v>200</c:v>
                </c:pt>
                <c:pt idx="121">
                  <c:v>173</c:v>
                </c:pt>
                <c:pt idx="122">
                  <c:v>180</c:v>
                </c:pt>
                <c:pt idx="123">
                  <c:v>84</c:v>
                </c:pt>
                <c:pt idx="124">
                  <c:v>121</c:v>
                </c:pt>
                <c:pt idx="125">
                  <c:v>161</c:v>
                </c:pt>
                <c:pt idx="126">
                  <c:v>99</c:v>
                </c:pt>
                <c:pt idx="127">
                  <c:v>109</c:v>
                </c:pt>
                <c:pt idx="128">
                  <c:v>115</c:v>
                </c:pt>
                <c:pt idx="129">
                  <c:v>268</c:v>
                </c:pt>
                <c:pt idx="130">
                  <c:v>274</c:v>
                </c:pt>
                <c:pt idx="131">
                  <c:v>158</c:v>
                </c:pt>
                <c:pt idx="132">
                  <c:v>107</c:v>
                </c:pt>
                <c:pt idx="133">
                  <c:v>83</c:v>
                </c:pt>
                <c:pt idx="134">
                  <c:v>103</c:v>
                </c:pt>
                <c:pt idx="135">
                  <c:v>272</c:v>
                </c:pt>
                <c:pt idx="136">
                  <c:v>85</c:v>
                </c:pt>
                <c:pt idx="137">
                  <c:v>280</c:v>
                </c:pt>
                <c:pt idx="138">
                  <c:v>336</c:v>
                </c:pt>
                <c:pt idx="139">
                  <c:v>281</c:v>
                </c:pt>
                <c:pt idx="140">
                  <c:v>118</c:v>
                </c:pt>
                <c:pt idx="141">
                  <c:v>317</c:v>
                </c:pt>
                <c:pt idx="142">
                  <c:v>235</c:v>
                </c:pt>
                <c:pt idx="143">
                  <c:v>60</c:v>
                </c:pt>
                <c:pt idx="144">
                  <c:v>174</c:v>
                </c:pt>
                <c:pt idx="145">
                  <c:v>259</c:v>
                </c:pt>
                <c:pt idx="146">
                  <c:v>178</c:v>
                </c:pt>
                <c:pt idx="147">
                  <c:v>128</c:v>
                </c:pt>
                <c:pt idx="148">
                  <c:v>96</c:v>
                </c:pt>
                <c:pt idx="149">
                  <c:v>126</c:v>
                </c:pt>
                <c:pt idx="150">
                  <c:v>288</c:v>
                </c:pt>
                <c:pt idx="151">
                  <c:v>88</c:v>
                </c:pt>
                <c:pt idx="152">
                  <c:v>292</c:v>
                </c:pt>
                <c:pt idx="153">
                  <c:v>71</c:v>
                </c:pt>
                <c:pt idx="154">
                  <c:v>197</c:v>
                </c:pt>
                <c:pt idx="155">
                  <c:v>186</c:v>
                </c:pt>
                <c:pt idx="156">
                  <c:v>25</c:v>
                </c:pt>
                <c:pt idx="157">
                  <c:v>84</c:v>
                </c:pt>
                <c:pt idx="158">
                  <c:v>96</c:v>
                </c:pt>
                <c:pt idx="159">
                  <c:v>195</c:v>
                </c:pt>
                <c:pt idx="160">
                  <c:v>53</c:v>
                </c:pt>
                <c:pt idx="161">
                  <c:v>217</c:v>
                </c:pt>
                <c:pt idx="162">
                  <c:v>172</c:v>
                </c:pt>
                <c:pt idx="163">
                  <c:v>131</c:v>
                </c:pt>
                <c:pt idx="164">
                  <c:v>214</c:v>
                </c:pt>
                <c:pt idx="165">
                  <c:v>59</c:v>
                </c:pt>
                <c:pt idx="166">
                  <c:v>70</c:v>
                </c:pt>
                <c:pt idx="167">
                  <c:v>220</c:v>
                </c:pt>
                <c:pt idx="168">
                  <c:v>268</c:v>
                </c:pt>
                <c:pt idx="169">
                  <c:v>152</c:v>
                </c:pt>
                <c:pt idx="170">
                  <c:v>47</c:v>
                </c:pt>
                <c:pt idx="171">
                  <c:v>74</c:v>
                </c:pt>
                <c:pt idx="172">
                  <c:v>295</c:v>
                </c:pt>
                <c:pt idx="173">
                  <c:v>101</c:v>
                </c:pt>
                <c:pt idx="174">
                  <c:v>151</c:v>
                </c:pt>
                <c:pt idx="175">
                  <c:v>127</c:v>
                </c:pt>
                <c:pt idx="176">
                  <c:v>237</c:v>
                </c:pt>
                <c:pt idx="177">
                  <c:v>225</c:v>
                </c:pt>
                <c:pt idx="178">
                  <c:v>81</c:v>
                </c:pt>
                <c:pt idx="179">
                  <c:v>151</c:v>
                </c:pt>
                <c:pt idx="180">
                  <c:v>107</c:v>
                </c:pt>
                <c:pt idx="181">
                  <c:v>64</c:v>
                </c:pt>
                <c:pt idx="182">
                  <c:v>138</c:v>
                </c:pt>
                <c:pt idx="183">
                  <c:v>185</c:v>
                </c:pt>
                <c:pt idx="184">
                  <c:v>265</c:v>
                </c:pt>
                <c:pt idx="185">
                  <c:v>101</c:v>
                </c:pt>
                <c:pt idx="186">
                  <c:v>137</c:v>
                </c:pt>
                <c:pt idx="187">
                  <c:v>143</c:v>
                </c:pt>
                <c:pt idx="188">
                  <c:v>141</c:v>
                </c:pt>
                <c:pt idx="189">
                  <c:v>79</c:v>
                </c:pt>
                <c:pt idx="190">
                  <c:v>292</c:v>
                </c:pt>
                <c:pt idx="191">
                  <c:v>178</c:v>
                </c:pt>
                <c:pt idx="192">
                  <c:v>91</c:v>
                </c:pt>
                <c:pt idx="193">
                  <c:v>116</c:v>
                </c:pt>
                <c:pt idx="194">
                  <c:v>86</c:v>
                </c:pt>
                <c:pt idx="195">
                  <c:v>122</c:v>
                </c:pt>
                <c:pt idx="196">
                  <c:v>72</c:v>
                </c:pt>
                <c:pt idx="197">
                  <c:v>129</c:v>
                </c:pt>
                <c:pt idx="198">
                  <c:v>142</c:v>
                </c:pt>
                <c:pt idx="199">
                  <c:v>90</c:v>
                </c:pt>
                <c:pt idx="200">
                  <c:v>158</c:v>
                </c:pt>
                <c:pt idx="201">
                  <c:v>39</c:v>
                </c:pt>
                <c:pt idx="202">
                  <c:v>196</c:v>
                </c:pt>
                <c:pt idx="203">
                  <c:v>222</c:v>
                </c:pt>
                <c:pt idx="204">
                  <c:v>277</c:v>
                </c:pt>
                <c:pt idx="205">
                  <c:v>99</c:v>
                </c:pt>
                <c:pt idx="206">
                  <c:v>196</c:v>
                </c:pt>
                <c:pt idx="207">
                  <c:v>202</c:v>
                </c:pt>
                <c:pt idx="208">
                  <c:v>155</c:v>
                </c:pt>
                <c:pt idx="209">
                  <c:v>77</c:v>
                </c:pt>
                <c:pt idx="210">
                  <c:v>191</c:v>
                </c:pt>
                <c:pt idx="211">
                  <c:v>70</c:v>
                </c:pt>
                <c:pt idx="212">
                  <c:v>73</c:v>
                </c:pt>
                <c:pt idx="213">
                  <c:v>49</c:v>
                </c:pt>
                <c:pt idx="214">
                  <c:v>65</c:v>
                </c:pt>
                <c:pt idx="215">
                  <c:v>263</c:v>
                </c:pt>
                <c:pt idx="216">
                  <c:v>248</c:v>
                </c:pt>
                <c:pt idx="217">
                  <c:v>296</c:v>
                </c:pt>
                <c:pt idx="218">
                  <c:v>214</c:v>
                </c:pt>
                <c:pt idx="219">
                  <c:v>185</c:v>
                </c:pt>
                <c:pt idx="220">
                  <c:v>78</c:v>
                </c:pt>
                <c:pt idx="221">
                  <c:v>93</c:v>
                </c:pt>
                <c:pt idx="222">
                  <c:v>252</c:v>
                </c:pt>
                <c:pt idx="223">
                  <c:v>150</c:v>
                </c:pt>
                <c:pt idx="224">
                  <c:v>77</c:v>
                </c:pt>
                <c:pt idx="225">
                  <c:v>208</c:v>
                </c:pt>
                <c:pt idx="226">
                  <c:v>77</c:v>
                </c:pt>
                <c:pt idx="227">
                  <c:v>108</c:v>
                </c:pt>
                <c:pt idx="228">
                  <c:v>160</c:v>
                </c:pt>
                <c:pt idx="229">
                  <c:v>53</c:v>
                </c:pt>
                <c:pt idx="230">
                  <c:v>220</c:v>
                </c:pt>
                <c:pt idx="231">
                  <c:v>154</c:v>
                </c:pt>
                <c:pt idx="232">
                  <c:v>259</c:v>
                </c:pt>
                <c:pt idx="233">
                  <c:v>90</c:v>
                </c:pt>
                <c:pt idx="234">
                  <c:v>246</c:v>
                </c:pt>
                <c:pt idx="235">
                  <c:v>124</c:v>
                </c:pt>
                <c:pt idx="236">
                  <c:v>67</c:v>
                </c:pt>
                <c:pt idx="237">
                  <c:v>72</c:v>
                </c:pt>
                <c:pt idx="238">
                  <c:v>257</c:v>
                </c:pt>
                <c:pt idx="239">
                  <c:v>262</c:v>
                </c:pt>
                <c:pt idx="240">
                  <c:v>275</c:v>
                </c:pt>
                <c:pt idx="241">
                  <c:v>177</c:v>
                </c:pt>
                <c:pt idx="242">
                  <c:v>71</c:v>
                </c:pt>
                <c:pt idx="243">
                  <c:v>47</c:v>
                </c:pt>
                <c:pt idx="244">
                  <c:v>187</c:v>
                </c:pt>
                <c:pt idx="245">
                  <c:v>125</c:v>
                </c:pt>
                <c:pt idx="246">
                  <c:v>78</c:v>
                </c:pt>
                <c:pt idx="247">
                  <c:v>51</c:v>
                </c:pt>
                <c:pt idx="248">
                  <c:v>258</c:v>
                </c:pt>
                <c:pt idx="249">
                  <c:v>215</c:v>
                </c:pt>
                <c:pt idx="250">
                  <c:v>303</c:v>
                </c:pt>
                <c:pt idx="251">
                  <c:v>243</c:v>
                </c:pt>
                <c:pt idx="252">
                  <c:v>91</c:v>
                </c:pt>
                <c:pt idx="253">
                  <c:v>150</c:v>
                </c:pt>
                <c:pt idx="254">
                  <c:v>310</c:v>
                </c:pt>
                <c:pt idx="255">
                  <c:v>153</c:v>
                </c:pt>
                <c:pt idx="256">
                  <c:v>346</c:v>
                </c:pt>
                <c:pt idx="257">
                  <c:v>63</c:v>
                </c:pt>
                <c:pt idx="258">
                  <c:v>89</c:v>
                </c:pt>
                <c:pt idx="259">
                  <c:v>50</c:v>
                </c:pt>
                <c:pt idx="260">
                  <c:v>39</c:v>
                </c:pt>
                <c:pt idx="261">
                  <c:v>103</c:v>
                </c:pt>
                <c:pt idx="262">
                  <c:v>308</c:v>
                </c:pt>
                <c:pt idx="263">
                  <c:v>116</c:v>
                </c:pt>
                <c:pt idx="264">
                  <c:v>145</c:v>
                </c:pt>
                <c:pt idx="265">
                  <c:v>74</c:v>
                </c:pt>
                <c:pt idx="266">
                  <c:v>45</c:v>
                </c:pt>
                <c:pt idx="267">
                  <c:v>115</c:v>
                </c:pt>
                <c:pt idx="268">
                  <c:v>264</c:v>
                </c:pt>
                <c:pt idx="269">
                  <c:v>87</c:v>
                </c:pt>
                <c:pt idx="270">
                  <c:v>202</c:v>
                </c:pt>
                <c:pt idx="271">
                  <c:v>127</c:v>
                </c:pt>
                <c:pt idx="272">
                  <c:v>182</c:v>
                </c:pt>
                <c:pt idx="273">
                  <c:v>241</c:v>
                </c:pt>
                <c:pt idx="274">
                  <c:v>66</c:v>
                </c:pt>
                <c:pt idx="275">
                  <c:v>94</c:v>
                </c:pt>
                <c:pt idx="276">
                  <c:v>283</c:v>
                </c:pt>
                <c:pt idx="277">
                  <c:v>64</c:v>
                </c:pt>
                <c:pt idx="278">
                  <c:v>102</c:v>
                </c:pt>
                <c:pt idx="279">
                  <c:v>200</c:v>
                </c:pt>
                <c:pt idx="280">
                  <c:v>265</c:v>
                </c:pt>
                <c:pt idx="281">
                  <c:v>94</c:v>
                </c:pt>
                <c:pt idx="282">
                  <c:v>230</c:v>
                </c:pt>
                <c:pt idx="283">
                  <c:v>181</c:v>
                </c:pt>
                <c:pt idx="284">
                  <c:v>156</c:v>
                </c:pt>
                <c:pt idx="285">
                  <c:v>233</c:v>
                </c:pt>
                <c:pt idx="286">
                  <c:v>60</c:v>
                </c:pt>
                <c:pt idx="287">
                  <c:v>219</c:v>
                </c:pt>
                <c:pt idx="288">
                  <c:v>80</c:v>
                </c:pt>
                <c:pt idx="289">
                  <c:v>68</c:v>
                </c:pt>
                <c:pt idx="290">
                  <c:v>332</c:v>
                </c:pt>
                <c:pt idx="291">
                  <c:v>248</c:v>
                </c:pt>
                <c:pt idx="292">
                  <c:v>84</c:v>
                </c:pt>
                <c:pt idx="293">
                  <c:v>200</c:v>
                </c:pt>
                <c:pt idx="294">
                  <c:v>55</c:v>
                </c:pt>
                <c:pt idx="295">
                  <c:v>85</c:v>
                </c:pt>
                <c:pt idx="296">
                  <c:v>89</c:v>
                </c:pt>
                <c:pt idx="297">
                  <c:v>31</c:v>
                </c:pt>
                <c:pt idx="298">
                  <c:v>129</c:v>
                </c:pt>
                <c:pt idx="299">
                  <c:v>83</c:v>
                </c:pt>
                <c:pt idx="300">
                  <c:v>275</c:v>
                </c:pt>
                <c:pt idx="301">
                  <c:v>65</c:v>
                </c:pt>
                <c:pt idx="302">
                  <c:v>198</c:v>
                </c:pt>
                <c:pt idx="303">
                  <c:v>236</c:v>
                </c:pt>
                <c:pt idx="304">
                  <c:v>253</c:v>
                </c:pt>
                <c:pt idx="305">
                  <c:v>124</c:v>
                </c:pt>
                <c:pt idx="306">
                  <c:v>44</c:v>
                </c:pt>
                <c:pt idx="307">
                  <c:v>172</c:v>
                </c:pt>
                <c:pt idx="308">
                  <c:v>114</c:v>
                </c:pt>
                <c:pt idx="309">
                  <c:v>142</c:v>
                </c:pt>
                <c:pt idx="310">
                  <c:v>109</c:v>
                </c:pt>
                <c:pt idx="311">
                  <c:v>180</c:v>
                </c:pt>
                <c:pt idx="312">
                  <c:v>144</c:v>
                </c:pt>
                <c:pt idx="313">
                  <c:v>163</c:v>
                </c:pt>
                <c:pt idx="314">
                  <c:v>147</c:v>
                </c:pt>
                <c:pt idx="315">
                  <c:v>97</c:v>
                </c:pt>
                <c:pt idx="316">
                  <c:v>220</c:v>
                </c:pt>
                <c:pt idx="317">
                  <c:v>190</c:v>
                </c:pt>
                <c:pt idx="318">
                  <c:v>109</c:v>
                </c:pt>
                <c:pt idx="319">
                  <c:v>191</c:v>
                </c:pt>
                <c:pt idx="320">
                  <c:v>122</c:v>
                </c:pt>
                <c:pt idx="321">
                  <c:v>230</c:v>
                </c:pt>
                <c:pt idx="322">
                  <c:v>242</c:v>
                </c:pt>
                <c:pt idx="323">
                  <c:v>248</c:v>
                </c:pt>
                <c:pt idx="324">
                  <c:v>249</c:v>
                </c:pt>
                <c:pt idx="325">
                  <c:v>192</c:v>
                </c:pt>
                <c:pt idx="326">
                  <c:v>131</c:v>
                </c:pt>
                <c:pt idx="327">
                  <c:v>237</c:v>
                </c:pt>
                <c:pt idx="328">
                  <c:v>78</c:v>
                </c:pt>
                <c:pt idx="329">
                  <c:v>135</c:v>
                </c:pt>
                <c:pt idx="330">
                  <c:v>244</c:v>
                </c:pt>
                <c:pt idx="331">
                  <c:v>199</c:v>
                </c:pt>
                <c:pt idx="332">
                  <c:v>270</c:v>
                </c:pt>
                <c:pt idx="333">
                  <c:v>164</c:v>
                </c:pt>
                <c:pt idx="334">
                  <c:v>72</c:v>
                </c:pt>
                <c:pt idx="335">
                  <c:v>96</c:v>
                </c:pt>
                <c:pt idx="336">
                  <c:v>306</c:v>
                </c:pt>
                <c:pt idx="337">
                  <c:v>91</c:v>
                </c:pt>
                <c:pt idx="338">
                  <c:v>214</c:v>
                </c:pt>
                <c:pt idx="339">
                  <c:v>95</c:v>
                </c:pt>
                <c:pt idx="340">
                  <c:v>216</c:v>
                </c:pt>
                <c:pt idx="341">
                  <c:v>263</c:v>
                </c:pt>
                <c:pt idx="342">
                  <c:v>178</c:v>
                </c:pt>
                <c:pt idx="343">
                  <c:v>113</c:v>
                </c:pt>
                <c:pt idx="344">
                  <c:v>200</c:v>
                </c:pt>
                <c:pt idx="345">
                  <c:v>139</c:v>
                </c:pt>
                <c:pt idx="346">
                  <c:v>139</c:v>
                </c:pt>
                <c:pt idx="347">
                  <c:v>88</c:v>
                </c:pt>
                <c:pt idx="348">
                  <c:v>148</c:v>
                </c:pt>
                <c:pt idx="349">
                  <c:v>88</c:v>
                </c:pt>
                <c:pt idx="350">
                  <c:v>243</c:v>
                </c:pt>
                <c:pt idx="351">
                  <c:v>71</c:v>
                </c:pt>
                <c:pt idx="352">
                  <c:v>77</c:v>
                </c:pt>
                <c:pt idx="353">
                  <c:v>109</c:v>
                </c:pt>
                <c:pt idx="354">
                  <c:v>272</c:v>
                </c:pt>
                <c:pt idx="355">
                  <c:v>60</c:v>
                </c:pt>
                <c:pt idx="356">
                  <c:v>54</c:v>
                </c:pt>
                <c:pt idx="357">
                  <c:v>221</c:v>
                </c:pt>
                <c:pt idx="358">
                  <c:v>90</c:v>
                </c:pt>
                <c:pt idx="359">
                  <c:v>311</c:v>
                </c:pt>
                <c:pt idx="360">
                  <c:v>281</c:v>
                </c:pt>
                <c:pt idx="361">
                  <c:v>182</c:v>
                </c:pt>
                <c:pt idx="362">
                  <c:v>321</c:v>
                </c:pt>
                <c:pt idx="363">
                  <c:v>58</c:v>
                </c:pt>
                <c:pt idx="364">
                  <c:v>262</c:v>
                </c:pt>
                <c:pt idx="365">
                  <c:v>206</c:v>
                </c:pt>
                <c:pt idx="366">
                  <c:v>233</c:v>
                </c:pt>
                <c:pt idx="367">
                  <c:v>242</c:v>
                </c:pt>
                <c:pt idx="368">
                  <c:v>123</c:v>
                </c:pt>
                <c:pt idx="369">
                  <c:v>167</c:v>
                </c:pt>
                <c:pt idx="370">
                  <c:v>63</c:v>
                </c:pt>
                <c:pt idx="371">
                  <c:v>197</c:v>
                </c:pt>
                <c:pt idx="372">
                  <c:v>71</c:v>
                </c:pt>
                <c:pt idx="373">
                  <c:v>168</c:v>
                </c:pt>
                <c:pt idx="374">
                  <c:v>140</c:v>
                </c:pt>
                <c:pt idx="375">
                  <c:v>217</c:v>
                </c:pt>
                <c:pt idx="376">
                  <c:v>121</c:v>
                </c:pt>
                <c:pt idx="377">
                  <c:v>235</c:v>
                </c:pt>
                <c:pt idx="378">
                  <c:v>245</c:v>
                </c:pt>
                <c:pt idx="379">
                  <c:v>40</c:v>
                </c:pt>
                <c:pt idx="380">
                  <c:v>52</c:v>
                </c:pt>
                <c:pt idx="381">
                  <c:v>104</c:v>
                </c:pt>
                <c:pt idx="382">
                  <c:v>132</c:v>
                </c:pt>
                <c:pt idx="383">
                  <c:v>88</c:v>
                </c:pt>
                <c:pt idx="384">
                  <c:v>69</c:v>
                </c:pt>
                <c:pt idx="385">
                  <c:v>219</c:v>
                </c:pt>
                <c:pt idx="386">
                  <c:v>72</c:v>
                </c:pt>
                <c:pt idx="387">
                  <c:v>201</c:v>
                </c:pt>
                <c:pt idx="388">
                  <c:v>110</c:v>
                </c:pt>
                <c:pt idx="389">
                  <c:v>51</c:v>
                </c:pt>
                <c:pt idx="390">
                  <c:v>277</c:v>
                </c:pt>
                <c:pt idx="391">
                  <c:v>63</c:v>
                </c:pt>
                <c:pt idx="392">
                  <c:v>118</c:v>
                </c:pt>
                <c:pt idx="393">
                  <c:v>69</c:v>
                </c:pt>
                <c:pt idx="394">
                  <c:v>273</c:v>
                </c:pt>
                <c:pt idx="395">
                  <c:v>258</c:v>
                </c:pt>
                <c:pt idx="396">
                  <c:v>43</c:v>
                </c:pt>
                <c:pt idx="397">
                  <c:v>198</c:v>
                </c:pt>
                <c:pt idx="398">
                  <c:v>242</c:v>
                </c:pt>
                <c:pt idx="399">
                  <c:v>232</c:v>
                </c:pt>
                <c:pt idx="400">
                  <c:v>175</c:v>
                </c:pt>
                <c:pt idx="401">
                  <c:v>93</c:v>
                </c:pt>
                <c:pt idx="402">
                  <c:v>168</c:v>
                </c:pt>
                <c:pt idx="403">
                  <c:v>275</c:v>
                </c:pt>
                <c:pt idx="404">
                  <c:v>293</c:v>
                </c:pt>
                <c:pt idx="405">
                  <c:v>281</c:v>
                </c:pt>
                <c:pt idx="406">
                  <c:v>72</c:v>
                </c:pt>
                <c:pt idx="407">
                  <c:v>140</c:v>
                </c:pt>
                <c:pt idx="408">
                  <c:v>189</c:v>
                </c:pt>
                <c:pt idx="409">
                  <c:v>181</c:v>
                </c:pt>
                <c:pt idx="410">
                  <c:v>209</c:v>
                </c:pt>
                <c:pt idx="411">
                  <c:v>136</c:v>
                </c:pt>
                <c:pt idx="412">
                  <c:v>261</c:v>
                </c:pt>
                <c:pt idx="413">
                  <c:v>113</c:v>
                </c:pt>
                <c:pt idx="414">
                  <c:v>131</c:v>
                </c:pt>
                <c:pt idx="415">
                  <c:v>174</c:v>
                </c:pt>
                <c:pt idx="416">
                  <c:v>257</c:v>
                </c:pt>
                <c:pt idx="417">
                  <c:v>55</c:v>
                </c:pt>
                <c:pt idx="418">
                  <c:v>84</c:v>
                </c:pt>
                <c:pt idx="419">
                  <c:v>42</c:v>
                </c:pt>
                <c:pt idx="420">
                  <c:v>146</c:v>
                </c:pt>
                <c:pt idx="421">
                  <c:v>212</c:v>
                </c:pt>
                <c:pt idx="422">
                  <c:v>233</c:v>
                </c:pt>
                <c:pt idx="423">
                  <c:v>91</c:v>
                </c:pt>
                <c:pt idx="424">
                  <c:v>111</c:v>
                </c:pt>
                <c:pt idx="425">
                  <c:v>152</c:v>
                </c:pt>
                <c:pt idx="426">
                  <c:v>120</c:v>
                </c:pt>
                <c:pt idx="427">
                  <c:v>67</c:v>
                </c:pt>
                <c:pt idx="428">
                  <c:v>310</c:v>
                </c:pt>
                <c:pt idx="429">
                  <c:v>94</c:v>
                </c:pt>
                <c:pt idx="430">
                  <c:v>183</c:v>
                </c:pt>
                <c:pt idx="431">
                  <c:v>66</c:v>
                </c:pt>
                <c:pt idx="432">
                  <c:v>173</c:v>
                </c:pt>
                <c:pt idx="433">
                  <c:v>72</c:v>
                </c:pt>
                <c:pt idx="434">
                  <c:v>49</c:v>
                </c:pt>
                <c:pt idx="435">
                  <c:v>64</c:v>
                </c:pt>
                <c:pt idx="436">
                  <c:v>48</c:v>
                </c:pt>
                <c:pt idx="437">
                  <c:v>178</c:v>
                </c:pt>
                <c:pt idx="438">
                  <c:v>104</c:v>
                </c:pt>
                <c:pt idx="439">
                  <c:v>132</c:v>
                </c:pt>
                <c:pt idx="440">
                  <c:v>220</c:v>
                </c:pt>
                <c:pt idx="441">
                  <c:v>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8-4DAD-A79B-9C35B4CC4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544272"/>
        <c:axId val="798545256"/>
      </c:scatterChart>
      <c:valAx>
        <c:axId val="79854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5256"/>
        <c:crosses val="autoZero"/>
        <c:crossBetween val="midCat"/>
      </c:valAx>
      <c:valAx>
        <c:axId val="7985452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Target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854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1842D2-04FA-4B66-8E5B-2E6062E57C82}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2D44B89-D286-4B9F-A0A5-4B9C42A203D6}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309EA8B-3E42-47B4-9D81-90B4A12D6885}">
  <sheetPr/>
  <sheetViews>
    <sheetView zoomScale="11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922820D-7491-4259-872D-AC77194AEA1F}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0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9FEE46-6C19-466D-AC03-47774BEA31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0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D10961-CC1A-420F-9025-6323BA883E2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0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A4D501-C9CB-46EE-BE26-2CB88A4FDD4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0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579E3F-7343-49BC-83B2-C90473C1FD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am Einian" refreshedDate="43871.446792361108" createdVersion="6" refreshedVersion="6" minRefreshableVersion="3" recordCount="442" xr:uid="{8A30BF1F-CA4F-468F-9625-89EFAAE9E1F9}">
  <cacheSource type="worksheet">
    <worksheetSource ref="A1:K443" sheet="RawData"/>
  </cacheSource>
  <cacheFields count="11">
    <cacheField name="AGE" numFmtId="0">
      <sharedItems containsSemiMixedTypes="0" containsString="0" containsNumber="1" containsInteger="1" minValue="19" maxValue="79" count="58">
        <n v="59"/>
        <n v="48"/>
        <n v="72"/>
        <n v="24"/>
        <n v="50"/>
        <n v="23"/>
        <n v="36"/>
        <n v="66"/>
        <n v="60"/>
        <n v="29"/>
        <n v="22"/>
        <n v="56"/>
        <n v="53"/>
        <n v="61"/>
        <n v="34"/>
        <n v="47"/>
        <n v="68"/>
        <n v="38"/>
        <n v="41"/>
        <n v="35"/>
        <n v="25"/>
        <n v="31"/>
        <n v="30"/>
        <n v="19"/>
        <n v="42"/>
        <n v="63"/>
        <n v="67"/>
        <n v="32"/>
        <n v="58"/>
        <n v="57"/>
        <n v="62"/>
        <n v="52"/>
        <n v="46"/>
        <n v="21"/>
        <n v="54"/>
        <n v="33"/>
        <n v="27"/>
        <n v="37"/>
        <n v="65"/>
        <n v="39"/>
        <n v="40"/>
        <n v="20"/>
        <n v="44"/>
        <n v="49"/>
        <n v="43"/>
        <n v="64"/>
        <n v="55"/>
        <n v="51"/>
        <n v="28"/>
        <n v="45"/>
        <n v="26"/>
        <n v="71"/>
        <n v="79"/>
        <n v="74"/>
        <n v="69"/>
        <n v="70"/>
        <n v="75"/>
        <n v="73"/>
      </sharedItems>
    </cacheField>
    <cacheField name="SEX" numFmtId="0">
      <sharedItems containsSemiMixedTypes="0" containsString="0" containsNumber="1" containsInteger="1" minValue="1" maxValue="2" count="2">
        <n v="2"/>
        <n v="1"/>
      </sharedItems>
    </cacheField>
    <cacheField name="BMI" numFmtId="0">
      <sharedItems containsSemiMixedTypes="0" containsString="0" containsNumber="1" minValue="18" maxValue="42.2" count="163">
        <n v="32.1"/>
        <n v="21.6"/>
        <n v="30.5"/>
        <n v="25.3"/>
        <n v="23"/>
        <n v="22.6"/>
        <n v="22"/>
        <n v="26.2"/>
        <n v="30"/>
        <n v="18.600000000000001"/>
        <n v="28"/>
        <n v="23.7"/>
        <n v="24"/>
        <n v="24.7"/>
        <n v="30.3"/>
        <n v="27.5"/>
        <n v="25.4"/>
        <n v="21.1"/>
        <n v="24.3"/>
        <n v="26"/>
        <n v="32"/>
        <n v="29.7"/>
        <n v="25.2"/>
        <n v="19.2"/>
        <n v="31.9"/>
        <n v="24.4"/>
        <n v="25.8"/>
        <n v="20.3"/>
        <n v="38"/>
        <n v="21.7"/>
        <n v="20.5"/>
        <n v="23.5"/>
        <n v="28.5"/>
        <n v="27.4"/>
        <n v="33"/>
        <n v="27.7"/>
        <n v="25.6"/>
        <n v="20.100000000000001"/>
        <n v="24.2"/>
        <n v="32.700000000000003"/>
        <n v="23.1"/>
        <n v="19.600000000000001"/>
        <n v="22.5"/>
        <n v="25.7"/>
        <n v="27.9"/>
        <n v="25.5"/>
        <n v="24.9"/>
        <n v="28.7"/>
        <n v="21.8"/>
        <n v="30.2"/>
        <n v="20.399999999999999"/>
        <n v="26.8"/>
        <n v="22.9"/>
        <n v="24.1"/>
        <n v="25"/>
        <n v="23.6"/>
        <n v="22.1"/>
        <n v="19.899999999999999"/>
        <n v="29.5"/>
        <n v="24.5"/>
        <n v="26.6"/>
        <n v="29"/>
        <n v="21"/>
        <n v="27.3"/>
        <n v="22.7"/>
        <n v="19.399999999999999"/>
        <n v="21.9"/>
        <n v="31.2"/>
        <n v="24.8"/>
        <n v="34.6"/>
        <n v="25.9"/>
        <n v="22.2"/>
        <n v="32.4"/>
        <n v="23.4"/>
        <n v="19.3"/>
        <n v="31"/>
        <n v="30.6"/>
        <n v="28.3"/>
        <n v="36.6"/>
        <n v="26.5"/>
        <n v="31.8"/>
        <n v="33.9"/>
        <n v="29.6"/>
        <n v="28.6"/>
        <n v="20.7"/>
        <n v="20.6"/>
        <n v="35.299999999999997"/>
        <n v="21.4"/>
        <n v="30.4"/>
        <n v="31.6"/>
        <n v="18.8"/>
        <n v="36.700000000000003"/>
        <n v="30.8"/>
        <n v="26.9"/>
        <n v="30.7"/>
        <n v="38.299999999999997"/>
        <n v="35"/>
        <n v="27.8"/>
        <n v="32.9"/>
        <n v="26.3"/>
        <n v="22.3"/>
        <n v="23.3"/>
        <n v="32.299999999999997"/>
        <n v="29.2"/>
        <n v="33.1"/>
        <n v="24.6"/>
        <n v="20.2"/>
        <n v="20.8"/>
        <n v="32.799999999999997"/>
        <n v="23.9"/>
        <n v="19"/>
        <n v="22.8"/>
        <n v="28.2"/>
        <n v="28.9"/>
        <n v="22.4"/>
        <n v="21.3"/>
        <n v="26.1"/>
        <n v="20.9"/>
        <n v="26.7"/>
        <n v="31.4"/>
        <n v="21.2"/>
        <n v="27"/>
        <n v="28.8"/>
        <n v="30.1"/>
        <n v="29.8"/>
        <n v="19.8"/>
        <n v="35.1"/>
        <n v="29.3"/>
        <n v="29.4"/>
        <n v="26.4"/>
        <n v="20"/>
        <n v="33.299999999999997"/>
        <n v="35.5"/>
        <n v="41.3"/>
        <n v="38.200000000000003"/>
        <n v="27.2"/>
        <n v="28.1"/>
        <n v="18"/>
        <n v="21.5"/>
        <n v="31.5"/>
        <n v="33.5"/>
        <n v="25.1"/>
        <n v="33.200000000000003"/>
        <n v="31.3"/>
        <n v="23.2"/>
        <n v="37"/>
        <n v="32.6"/>
        <n v="36.1"/>
        <n v="34.299999999999997"/>
        <n v="28.4"/>
        <n v="19.7"/>
        <n v="18.5"/>
        <n v="39.1"/>
        <n v="42.2"/>
        <n v="29.9"/>
        <n v="18.100000000000001"/>
        <n v="35.4"/>
        <n v="37.799999999999997"/>
        <n v="18.899999999999999"/>
        <n v="23.8"/>
        <n v="33.799999999999997"/>
        <n v="33.6"/>
        <n v="19.5"/>
      </sharedItems>
    </cacheField>
    <cacheField name="BP" numFmtId="0">
      <sharedItems containsSemiMixedTypes="0" containsString="0" containsNumber="1" minValue="62" maxValue="133"/>
    </cacheField>
    <cacheField name="S1" numFmtId="0">
      <sharedItems containsSemiMixedTypes="0" containsString="0" containsNumber="1" containsInteger="1" minValue="97" maxValue="301"/>
    </cacheField>
    <cacheField name="S2" numFmtId="0">
      <sharedItems containsSemiMixedTypes="0" containsString="0" containsNumber="1" minValue="41.6" maxValue="242.4"/>
    </cacheField>
    <cacheField name="S3" numFmtId="0">
      <sharedItems containsSemiMixedTypes="0" containsString="0" containsNumber="1" minValue="22" maxValue="99"/>
    </cacheField>
    <cacheField name="S4" numFmtId="0">
      <sharedItems containsSemiMixedTypes="0" containsString="0" containsNumber="1" minValue="2" maxValue="9.09"/>
    </cacheField>
    <cacheField name="S5" numFmtId="0">
      <sharedItems containsSemiMixedTypes="0" containsString="0" containsNumber="1" minValue="3.2581000000000002" maxValue="6.1070000000000002"/>
    </cacheField>
    <cacheField name="S6" numFmtId="0">
      <sharedItems containsSemiMixedTypes="0" containsString="0" containsNumber="1" containsInteger="1" minValue="58" maxValue="124"/>
    </cacheField>
    <cacheField name="target" numFmtId="0">
      <sharedItems containsSemiMixedTypes="0" containsString="0" containsNumber="1" containsInteger="1" minValue="25" maxValue="346"/>
    </cacheField>
  </cacheFields>
  <extLst>
    <ext xmlns:x14="http://schemas.microsoft.com/office/spreadsheetml/2009/9/main" uri="{725AE2AE-9491-48be-B2B4-4EB974FC3084}">
      <x14:pivotCacheDefinition pivotCacheId="44654797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2">
  <r>
    <x v="0"/>
    <x v="0"/>
    <x v="0"/>
    <n v="101"/>
    <n v="157"/>
    <n v="93.2"/>
    <n v="38"/>
    <n v="4"/>
    <n v="4.8597999999999999"/>
    <n v="87"/>
    <n v="151"/>
  </r>
  <r>
    <x v="1"/>
    <x v="1"/>
    <x v="1"/>
    <n v="87"/>
    <n v="183"/>
    <n v="103.2"/>
    <n v="70"/>
    <n v="3"/>
    <n v="3.8917999999999999"/>
    <n v="69"/>
    <n v="75"/>
  </r>
  <r>
    <x v="2"/>
    <x v="0"/>
    <x v="2"/>
    <n v="93"/>
    <n v="156"/>
    <n v="93.6"/>
    <n v="41"/>
    <n v="4"/>
    <n v="4.6727999999999996"/>
    <n v="85"/>
    <n v="141"/>
  </r>
  <r>
    <x v="3"/>
    <x v="1"/>
    <x v="3"/>
    <n v="84"/>
    <n v="198"/>
    <n v="131.4"/>
    <n v="40"/>
    <n v="5"/>
    <n v="4.8902999999999999"/>
    <n v="89"/>
    <n v="206"/>
  </r>
  <r>
    <x v="4"/>
    <x v="1"/>
    <x v="4"/>
    <n v="101"/>
    <n v="192"/>
    <n v="125.4"/>
    <n v="52"/>
    <n v="4"/>
    <n v="4.2904999999999998"/>
    <n v="80"/>
    <n v="135"/>
  </r>
  <r>
    <x v="5"/>
    <x v="1"/>
    <x v="5"/>
    <n v="89"/>
    <n v="139"/>
    <n v="64.8"/>
    <n v="61"/>
    <n v="2"/>
    <n v="4.1897000000000002"/>
    <n v="68"/>
    <n v="97"/>
  </r>
  <r>
    <x v="6"/>
    <x v="0"/>
    <x v="6"/>
    <n v="90"/>
    <n v="160"/>
    <n v="99.6"/>
    <n v="50"/>
    <n v="3"/>
    <n v="3.9512"/>
    <n v="82"/>
    <n v="138"/>
  </r>
  <r>
    <x v="7"/>
    <x v="0"/>
    <x v="7"/>
    <n v="114"/>
    <n v="255"/>
    <n v="185"/>
    <n v="56"/>
    <n v="4.55"/>
    <n v="4.2484999999999999"/>
    <n v="92"/>
    <n v="63"/>
  </r>
  <r>
    <x v="8"/>
    <x v="0"/>
    <x v="0"/>
    <n v="83"/>
    <n v="179"/>
    <n v="119.4"/>
    <n v="42"/>
    <n v="4"/>
    <n v="4.4772999999999996"/>
    <n v="94"/>
    <n v="110"/>
  </r>
  <r>
    <x v="9"/>
    <x v="1"/>
    <x v="8"/>
    <n v="85"/>
    <n v="180"/>
    <n v="93.4"/>
    <n v="43"/>
    <n v="4"/>
    <n v="5.3845000000000001"/>
    <n v="88"/>
    <n v="310"/>
  </r>
  <r>
    <x v="10"/>
    <x v="1"/>
    <x v="9"/>
    <n v="97"/>
    <n v="114"/>
    <n v="57.6"/>
    <n v="46"/>
    <n v="2"/>
    <n v="3.9512"/>
    <n v="83"/>
    <n v="101"/>
  </r>
  <r>
    <x v="11"/>
    <x v="0"/>
    <x v="10"/>
    <n v="85"/>
    <n v="184"/>
    <n v="144.80000000000001"/>
    <n v="32"/>
    <n v="6"/>
    <n v="3.5834999999999999"/>
    <n v="77"/>
    <n v="69"/>
  </r>
  <r>
    <x v="12"/>
    <x v="1"/>
    <x v="11"/>
    <n v="92"/>
    <n v="186"/>
    <n v="109.2"/>
    <n v="62"/>
    <n v="3"/>
    <n v="4.3041"/>
    <n v="81"/>
    <n v="179"/>
  </r>
  <r>
    <x v="4"/>
    <x v="0"/>
    <x v="7"/>
    <n v="97"/>
    <n v="186"/>
    <n v="105.4"/>
    <n v="49"/>
    <n v="4"/>
    <n v="5.0625999999999998"/>
    <n v="88"/>
    <n v="185"/>
  </r>
  <r>
    <x v="13"/>
    <x v="1"/>
    <x v="12"/>
    <n v="91"/>
    <n v="202"/>
    <n v="115.4"/>
    <n v="72"/>
    <n v="3"/>
    <n v="4.2904999999999998"/>
    <n v="73"/>
    <n v="118"/>
  </r>
  <r>
    <x v="14"/>
    <x v="0"/>
    <x v="13"/>
    <n v="118"/>
    <n v="254"/>
    <n v="184.2"/>
    <n v="39"/>
    <n v="7"/>
    <n v="5.0369999999999999"/>
    <n v="81"/>
    <n v="171"/>
  </r>
  <r>
    <x v="15"/>
    <x v="1"/>
    <x v="14"/>
    <n v="109"/>
    <n v="207"/>
    <n v="100.2"/>
    <n v="70"/>
    <n v="3"/>
    <n v="5.2149000000000001"/>
    <n v="98"/>
    <n v="166"/>
  </r>
  <r>
    <x v="16"/>
    <x v="0"/>
    <x v="15"/>
    <n v="111"/>
    <n v="214"/>
    <n v="147"/>
    <n v="39"/>
    <n v="5"/>
    <n v="4.9416000000000002"/>
    <n v="91"/>
    <n v="144"/>
  </r>
  <r>
    <x v="17"/>
    <x v="1"/>
    <x v="16"/>
    <n v="84"/>
    <n v="162"/>
    <n v="103"/>
    <n v="42"/>
    <n v="4"/>
    <n v="4.4427000000000003"/>
    <n v="87"/>
    <n v="97"/>
  </r>
  <r>
    <x v="18"/>
    <x v="1"/>
    <x v="13"/>
    <n v="83"/>
    <n v="187"/>
    <n v="108.2"/>
    <n v="60"/>
    <n v="3"/>
    <n v="4.5433000000000003"/>
    <n v="78"/>
    <n v="168"/>
  </r>
  <r>
    <x v="19"/>
    <x v="1"/>
    <x v="17"/>
    <n v="82"/>
    <n v="156"/>
    <n v="87.8"/>
    <n v="50"/>
    <n v="3"/>
    <n v="4.5109000000000004"/>
    <n v="95"/>
    <n v="68"/>
  </r>
  <r>
    <x v="20"/>
    <x v="0"/>
    <x v="18"/>
    <n v="95"/>
    <n v="162"/>
    <n v="98.6"/>
    <n v="54"/>
    <n v="3"/>
    <n v="3.8500999999999999"/>
    <n v="87"/>
    <n v="49"/>
  </r>
  <r>
    <x v="20"/>
    <x v="1"/>
    <x v="19"/>
    <n v="92"/>
    <n v="187"/>
    <n v="120.4"/>
    <n v="56"/>
    <n v="3"/>
    <n v="3.9702999999999999"/>
    <n v="88"/>
    <n v="68"/>
  </r>
  <r>
    <x v="13"/>
    <x v="0"/>
    <x v="20"/>
    <n v="103.67"/>
    <n v="210"/>
    <n v="85.2"/>
    <n v="35"/>
    <n v="6"/>
    <n v="6.1070000000000002"/>
    <n v="124"/>
    <n v="245"/>
  </r>
  <r>
    <x v="21"/>
    <x v="1"/>
    <x v="21"/>
    <n v="88"/>
    <n v="167"/>
    <n v="103.4"/>
    <n v="48"/>
    <n v="4"/>
    <n v="4.3567"/>
    <n v="78"/>
    <n v="184"/>
  </r>
  <r>
    <x v="22"/>
    <x v="0"/>
    <x v="22"/>
    <n v="83"/>
    <n v="178"/>
    <n v="118.4"/>
    <n v="34"/>
    <n v="5"/>
    <n v="4.8520000000000003"/>
    <n v="83"/>
    <n v="202"/>
  </r>
  <r>
    <x v="23"/>
    <x v="1"/>
    <x v="23"/>
    <n v="87"/>
    <n v="124"/>
    <n v="54"/>
    <n v="57"/>
    <n v="2"/>
    <n v="4.1744000000000003"/>
    <n v="90"/>
    <n v="137"/>
  </r>
  <r>
    <x v="24"/>
    <x v="1"/>
    <x v="24"/>
    <n v="83"/>
    <n v="158"/>
    <n v="87.6"/>
    <n v="53"/>
    <n v="3"/>
    <n v="4.4659000000000004"/>
    <n v="101"/>
    <n v="85"/>
  </r>
  <r>
    <x v="25"/>
    <x v="1"/>
    <x v="25"/>
    <n v="73"/>
    <n v="160"/>
    <n v="91.4"/>
    <n v="48"/>
    <n v="3"/>
    <n v="4.6346999999999996"/>
    <n v="78"/>
    <n v="131"/>
  </r>
  <r>
    <x v="26"/>
    <x v="0"/>
    <x v="26"/>
    <n v="113"/>
    <n v="158"/>
    <n v="54.2"/>
    <n v="64"/>
    <n v="2"/>
    <n v="5.2933000000000003"/>
    <n v="104"/>
    <n v="283"/>
  </r>
  <r>
    <x v="27"/>
    <x v="1"/>
    <x v="2"/>
    <n v="89"/>
    <n v="182"/>
    <n v="110.6"/>
    <n v="56"/>
    <n v="3"/>
    <n v="4.3437999999999999"/>
    <n v="89"/>
    <n v="129"/>
  </r>
  <r>
    <x v="24"/>
    <x v="1"/>
    <x v="27"/>
    <n v="71"/>
    <n v="161"/>
    <n v="81.2"/>
    <n v="66"/>
    <n v="2"/>
    <n v="4.2340999999999998"/>
    <n v="81"/>
    <n v="59"/>
  </r>
  <r>
    <x v="28"/>
    <x v="0"/>
    <x v="28"/>
    <n v="103"/>
    <n v="150"/>
    <n v="107.2"/>
    <n v="22"/>
    <n v="7"/>
    <n v="4.6444000000000001"/>
    <n v="98"/>
    <n v="341"/>
  </r>
  <r>
    <x v="29"/>
    <x v="1"/>
    <x v="29"/>
    <n v="94"/>
    <n v="157"/>
    <n v="58"/>
    <n v="82"/>
    <n v="2"/>
    <n v="4.4427000000000003"/>
    <n v="92"/>
    <n v="87"/>
  </r>
  <r>
    <x v="12"/>
    <x v="1"/>
    <x v="30"/>
    <n v="78"/>
    <n v="147"/>
    <n v="84.2"/>
    <n v="52"/>
    <n v="3"/>
    <n v="3.9889999999999999"/>
    <n v="75"/>
    <n v="65"/>
  </r>
  <r>
    <x v="30"/>
    <x v="0"/>
    <x v="31"/>
    <n v="80.33"/>
    <n v="225"/>
    <n v="112.8"/>
    <n v="86"/>
    <n v="2.62"/>
    <n v="4.8752000000000004"/>
    <n v="96"/>
    <n v="102"/>
  </r>
  <r>
    <x v="31"/>
    <x v="1"/>
    <x v="32"/>
    <n v="110"/>
    <n v="195"/>
    <n v="97.2"/>
    <n v="60"/>
    <n v="3"/>
    <n v="5.2416999999999998"/>
    <n v="85"/>
    <n v="265"/>
  </r>
  <r>
    <x v="32"/>
    <x v="1"/>
    <x v="33"/>
    <n v="78"/>
    <n v="171"/>
    <n v="88"/>
    <n v="58"/>
    <n v="3"/>
    <n v="4.8282999999999996"/>
    <n v="90"/>
    <n v="276"/>
  </r>
  <r>
    <x v="1"/>
    <x v="0"/>
    <x v="34"/>
    <n v="123"/>
    <n v="253"/>
    <n v="163.6"/>
    <n v="44"/>
    <n v="6"/>
    <n v="5.4249999999999998"/>
    <n v="97"/>
    <n v="252"/>
  </r>
  <r>
    <x v="1"/>
    <x v="0"/>
    <x v="35"/>
    <n v="73"/>
    <n v="191"/>
    <n v="119.4"/>
    <n v="46"/>
    <n v="4"/>
    <n v="4.8520000000000003"/>
    <n v="92"/>
    <n v="90"/>
  </r>
  <r>
    <x v="4"/>
    <x v="0"/>
    <x v="36"/>
    <n v="101"/>
    <n v="229"/>
    <n v="162.19999999999999"/>
    <n v="43"/>
    <n v="5"/>
    <n v="4.7790999999999997"/>
    <n v="114"/>
    <n v="100"/>
  </r>
  <r>
    <x v="33"/>
    <x v="1"/>
    <x v="37"/>
    <n v="63"/>
    <n v="135"/>
    <n v="69"/>
    <n v="54"/>
    <n v="3"/>
    <n v="4.0942999999999996"/>
    <n v="89"/>
    <n v="55"/>
  </r>
  <r>
    <x v="27"/>
    <x v="0"/>
    <x v="16"/>
    <n v="90.33"/>
    <n v="153"/>
    <n v="100.4"/>
    <n v="34"/>
    <n v="4.5"/>
    <n v="4.5326000000000004"/>
    <n v="83"/>
    <n v="61"/>
  </r>
  <r>
    <x v="34"/>
    <x v="1"/>
    <x v="38"/>
    <n v="74"/>
    <n v="204"/>
    <n v="109"/>
    <n v="82"/>
    <n v="2"/>
    <n v="4.1744000000000003"/>
    <n v="109"/>
    <n v="92"/>
  </r>
  <r>
    <x v="13"/>
    <x v="0"/>
    <x v="39"/>
    <n v="97"/>
    <n v="177"/>
    <n v="118.4"/>
    <n v="29"/>
    <n v="6"/>
    <n v="4.9972000000000003"/>
    <n v="87"/>
    <n v="259"/>
  </r>
  <r>
    <x v="11"/>
    <x v="0"/>
    <x v="40"/>
    <n v="104"/>
    <n v="181"/>
    <n v="116.4"/>
    <n v="47"/>
    <n v="4"/>
    <n v="4.4772999999999996"/>
    <n v="79"/>
    <n v="53"/>
  </r>
  <r>
    <x v="35"/>
    <x v="1"/>
    <x v="3"/>
    <n v="85"/>
    <n v="155"/>
    <n v="85"/>
    <n v="51"/>
    <n v="3"/>
    <n v="4.5538999999999996"/>
    <n v="70"/>
    <n v="190"/>
  </r>
  <r>
    <x v="36"/>
    <x v="1"/>
    <x v="41"/>
    <n v="78"/>
    <n v="128"/>
    <n v="68"/>
    <n v="43"/>
    <n v="3"/>
    <n v="4.4427000000000003"/>
    <n v="71"/>
    <n v="142"/>
  </r>
  <r>
    <x v="26"/>
    <x v="0"/>
    <x v="42"/>
    <n v="98"/>
    <n v="191"/>
    <n v="119.2"/>
    <n v="61"/>
    <n v="3"/>
    <n v="3.9889999999999999"/>
    <n v="86"/>
    <n v="75"/>
  </r>
  <r>
    <x v="37"/>
    <x v="0"/>
    <x v="35"/>
    <n v="93"/>
    <n v="180"/>
    <n v="119.4"/>
    <n v="30"/>
    <n v="6"/>
    <n v="5.0304000000000002"/>
    <n v="88"/>
    <n v="142"/>
  </r>
  <r>
    <x v="28"/>
    <x v="1"/>
    <x v="43"/>
    <n v="99"/>
    <n v="157"/>
    <n v="91.6"/>
    <n v="49"/>
    <n v="3"/>
    <n v="4.4066999999999998"/>
    <n v="93"/>
    <n v="155"/>
  </r>
  <r>
    <x v="38"/>
    <x v="0"/>
    <x v="44"/>
    <n v="103"/>
    <n v="159"/>
    <n v="96.8"/>
    <n v="42"/>
    <n v="4"/>
    <n v="4.6151"/>
    <n v="86"/>
    <n v="225"/>
  </r>
  <r>
    <x v="14"/>
    <x v="1"/>
    <x v="45"/>
    <n v="93"/>
    <n v="218"/>
    <n v="144"/>
    <n v="57"/>
    <n v="4"/>
    <n v="4.4427000000000003"/>
    <n v="88"/>
    <n v="59"/>
  </r>
  <r>
    <x v="32"/>
    <x v="1"/>
    <x v="46"/>
    <n v="115"/>
    <n v="198"/>
    <n v="129.6"/>
    <n v="54"/>
    <n v="4"/>
    <n v="4.2766999999999999"/>
    <n v="103"/>
    <n v="104"/>
  </r>
  <r>
    <x v="19"/>
    <x v="1"/>
    <x v="47"/>
    <n v="97"/>
    <n v="204"/>
    <n v="126.8"/>
    <n v="64"/>
    <n v="3"/>
    <n v="4.1897000000000002"/>
    <n v="93"/>
    <n v="182"/>
  </r>
  <r>
    <x v="37"/>
    <x v="1"/>
    <x v="48"/>
    <n v="84"/>
    <n v="184"/>
    <n v="101"/>
    <n v="73"/>
    <n v="3"/>
    <n v="3.9119999999999999"/>
    <n v="93"/>
    <n v="128"/>
  </r>
  <r>
    <x v="37"/>
    <x v="1"/>
    <x v="49"/>
    <n v="87"/>
    <n v="166"/>
    <n v="96"/>
    <n v="40"/>
    <n v="4.1500000000000004"/>
    <n v="5.0106000000000002"/>
    <n v="87"/>
    <n v="52"/>
  </r>
  <r>
    <x v="18"/>
    <x v="1"/>
    <x v="30"/>
    <n v="80"/>
    <n v="124"/>
    <n v="48.8"/>
    <n v="64"/>
    <n v="2"/>
    <n v="4.0254000000000003"/>
    <n v="75"/>
    <n v="37"/>
  </r>
  <r>
    <x v="8"/>
    <x v="1"/>
    <x v="50"/>
    <n v="105"/>
    <n v="198"/>
    <n v="78.400000000000006"/>
    <n v="99"/>
    <n v="2"/>
    <n v="4.6346999999999996"/>
    <n v="79"/>
    <n v="170"/>
  </r>
  <r>
    <x v="7"/>
    <x v="0"/>
    <x v="12"/>
    <n v="98"/>
    <n v="236"/>
    <n v="146.4"/>
    <n v="58"/>
    <n v="4"/>
    <n v="5.0625999999999998"/>
    <n v="96"/>
    <n v="170"/>
  </r>
  <r>
    <x v="9"/>
    <x v="1"/>
    <x v="19"/>
    <n v="83"/>
    <n v="141"/>
    <n v="65.2"/>
    <n v="64"/>
    <n v="2"/>
    <n v="4.0774999999999997"/>
    <n v="83"/>
    <n v="61"/>
  </r>
  <r>
    <x v="37"/>
    <x v="0"/>
    <x v="51"/>
    <n v="79"/>
    <n v="157"/>
    <n v="98"/>
    <n v="28"/>
    <n v="6"/>
    <n v="5.0434000000000001"/>
    <n v="96"/>
    <n v="144"/>
  </r>
  <r>
    <x v="18"/>
    <x v="0"/>
    <x v="43"/>
    <n v="83"/>
    <n v="181"/>
    <n v="106.6"/>
    <n v="66"/>
    <n v="3"/>
    <n v="3.7376999999999998"/>
    <n v="85"/>
    <n v="52"/>
  </r>
  <r>
    <x v="39"/>
    <x v="1"/>
    <x v="52"/>
    <n v="77"/>
    <n v="204"/>
    <n v="143.19999999999999"/>
    <n v="46"/>
    <n v="4"/>
    <n v="4.3041"/>
    <n v="74"/>
    <n v="128"/>
  </r>
  <r>
    <x v="26"/>
    <x v="0"/>
    <x v="12"/>
    <n v="83"/>
    <n v="143"/>
    <n v="77.2"/>
    <n v="49"/>
    <n v="3"/>
    <n v="4.4307999999999996"/>
    <n v="94"/>
    <n v="71"/>
  </r>
  <r>
    <x v="6"/>
    <x v="0"/>
    <x v="53"/>
    <n v="112"/>
    <n v="193"/>
    <n v="125"/>
    <n v="35"/>
    <n v="6"/>
    <n v="5.1059000000000001"/>
    <n v="95"/>
    <n v="163"/>
  </r>
  <r>
    <x v="32"/>
    <x v="0"/>
    <x v="13"/>
    <n v="85"/>
    <n v="174"/>
    <n v="123.2"/>
    <n v="30"/>
    <n v="6"/>
    <n v="4.6444000000000001"/>
    <n v="96"/>
    <n v="150"/>
  </r>
  <r>
    <x v="8"/>
    <x v="0"/>
    <x v="54"/>
    <n v="89.67"/>
    <n v="185"/>
    <n v="120.8"/>
    <n v="46"/>
    <n v="4.0199999999999996"/>
    <n v="4.5109000000000004"/>
    <n v="92"/>
    <n v="97"/>
  </r>
  <r>
    <x v="0"/>
    <x v="0"/>
    <x v="55"/>
    <n v="83"/>
    <n v="165"/>
    <n v="100"/>
    <n v="47"/>
    <n v="4"/>
    <n v="4.4997999999999996"/>
    <n v="92"/>
    <n v="160"/>
  </r>
  <r>
    <x v="12"/>
    <x v="1"/>
    <x v="56"/>
    <n v="93"/>
    <n v="134"/>
    <n v="76.2"/>
    <n v="46"/>
    <n v="3"/>
    <n v="4.0774999999999997"/>
    <n v="96"/>
    <n v="178"/>
  </r>
  <r>
    <x v="1"/>
    <x v="1"/>
    <x v="57"/>
    <n v="91"/>
    <n v="189"/>
    <n v="109.6"/>
    <n v="69"/>
    <n v="3"/>
    <n v="3.9512"/>
    <n v="101"/>
    <n v="48"/>
  </r>
  <r>
    <x v="1"/>
    <x v="1"/>
    <x v="58"/>
    <n v="131"/>
    <n v="207"/>
    <n v="132.19999999999999"/>
    <n v="47"/>
    <n v="4"/>
    <n v="4.9344999999999999"/>
    <n v="106"/>
    <n v="270"/>
  </r>
  <r>
    <x v="7"/>
    <x v="0"/>
    <x v="19"/>
    <n v="91"/>
    <n v="264"/>
    <n v="146.6"/>
    <n v="65"/>
    <n v="4"/>
    <n v="5.5682999999999998"/>
    <n v="87"/>
    <n v="202"/>
  </r>
  <r>
    <x v="31"/>
    <x v="0"/>
    <x v="59"/>
    <n v="94"/>
    <n v="217"/>
    <n v="149.4"/>
    <n v="48"/>
    <n v="5"/>
    <n v="4.585"/>
    <n v="89"/>
    <n v="111"/>
  </r>
  <r>
    <x v="31"/>
    <x v="0"/>
    <x v="60"/>
    <n v="111"/>
    <n v="209"/>
    <n v="126.4"/>
    <n v="61"/>
    <n v="3"/>
    <n v="4.6821000000000002"/>
    <n v="109"/>
    <n v="85"/>
  </r>
  <r>
    <x v="32"/>
    <x v="0"/>
    <x v="31"/>
    <n v="87"/>
    <n v="181"/>
    <n v="114.8"/>
    <n v="44"/>
    <n v="4"/>
    <n v="4.7095000000000002"/>
    <n v="98"/>
    <n v="42"/>
  </r>
  <r>
    <x v="40"/>
    <x v="0"/>
    <x v="61"/>
    <n v="115"/>
    <n v="97"/>
    <n v="47.2"/>
    <n v="35"/>
    <n v="2.77"/>
    <n v="4.3041"/>
    <n v="95"/>
    <n v="170"/>
  </r>
  <r>
    <x v="10"/>
    <x v="1"/>
    <x v="4"/>
    <n v="73"/>
    <n v="161"/>
    <n v="97.8"/>
    <n v="54"/>
    <n v="3"/>
    <n v="3.8285999999999998"/>
    <n v="91"/>
    <n v="200"/>
  </r>
  <r>
    <x v="4"/>
    <x v="1"/>
    <x v="62"/>
    <n v="88"/>
    <n v="140"/>
    <n v="71.8"/>
    <n v="35"/>
    <n v="4"/>
    <n v="5.1120000000000001"/>
    <n v="71"/>
    <n v="252"/>
  </r>
  <r>
    <x v="41"/>
    <x v="1"/>
    <x v="52"/>
    <n v="87"/>
    <n v="191"/>
    <n v="128.19999999999999"/>
    <n v="53"/>
    <n v="4"/>
    <n v="3.8917999999999999"/>
    <n v="85"/>
    <n v="113"/>
  </r>
  <r>
    <x v="16"/>
    <x v="1"/>
    <x v="15"/>
    <n v="107"/>
    <n v="241"/>
    <n v="149.6"/>
    <n v="64"/>
    <n v="4"/>
    <n v="4.92"/>
    <n v="90"/>
    <n v="143"/>
  </r>
  <r>
    <x v="31"/>
    <x v="0"/>
    <x v="18"/>
    <n v="86"/>
    <n v="197"/>
    <n v="133.6"/>
    <n v="44"/>
    <n v="5"/>
    <n v="4.5747"/>
    <n v="91"/>
    <n v="51"/>
  </r>
  <r>
    <x v="42"/>
    <x v="1"/>
    <x v="40"/>
    <n v="87"/>
    <n v="213"/>
    <n v="126.4"/>
    <n v="77"/>
    <n v="3"/>
    <n v="3.8712"/>
    <n v="72"/>
    <n v="52"/>
  </r>
  <r>
    <x v="17"/>
    <x v="1"/>
    <x v="63"/>
    <n v="81"/>
    <n v="146"/>
    <n v="81.599999999999994"/>
    <n v="47"/>
    <n v="3"/>
    <n v="4.4659000000000004"/>
    <n v="81"/>
    <n v="210"/>
  </r>
  <r>
    <x v="43"/>
    <x v="1"/>
    <x v="64"/>
    <n v="65.33"/>
    <n v="168"/>
    <n v="96.2"/>
    <n v="62"/>
    <n v="2.71"/>
    <n v="3.8917999999999999"/>
    <n v="60"/>
    <n v="65"/>
  </r>
  <r>
    <x v="13"/>
    <x v="1"/>
    <x v="34"/>
    <n v="95"/>
    <n v="182"/>
    <n v="114.8"/>
    <n v="54"/>
    <n v="3"/>
    <n v="4.1897000000000002"/>
    <n v="74"/>
    <n v="141"/>
  </r>
  <r>
    <x v="9"/>
    <x v="0"/>
    <x v="65"/>
    <n v="83"/>
    <n v="152"/>
    <n v="105.8"/>
    <n v="39"/>
    <n v="4"/>
    <n v="3.5834999999999999"/>
    <n v="83"/>
    <n v="55"/>
  </r>
  <r>
    <x v="13"/>
    <x v="1"/>
    <x v="26"/>
    <n v="98"/>
    <n v="235"/>
    <n v="125.8"/>
    <n v="76"/>
    <n v="3"/>
    <n v="5.1120000000000001"/>
    <n v="82"/>
    <n v="134"/>
  </r>
  <r>
    <x v="14"/>
    <x v="0"/>
    <x v="5"/>
    <n v="75"/>
    <n v="166"/>
    <n v="91.8"/>
    <n v="60"/>
    <n v="3"/>
    <n v="4.2626999999999997"/>
    <n v="108"/>
    <n v="42"/>
  </r>
  <r>
    <x v="6"/>
    <x v="1"/>
    <x v="66"/>
    <n v="89"/>
    <n v="189"/>
    <n v="105.2"/>
    <n v="68"/>
    <n v="3"/>
    <n v="4.3693999999999997"/>
    <n v="96"/>
    <n v="111"/>
  </r>
  <r>
    <x v="31"/>
    <x v="1"/>
    <x v="12"/>
    <n v="83"/>
    <n v="167"/>
    <n v="86.6"/>
    <n v="71"/>
    <n v="2"/>
    <n v="3.8500999999999999"/>
    <n v="94"/>
    <n v="98"/>
  </r>
  <r>
    <x v="13"/>
    <x v="1"/>
    <x v="67"/>
    <n v="79"/>
    <n v="235"/>
    <n v="156.80000000000001"/>
    <n v="47"/>
    <n v="5"/>
    <n v="5.0499000000000001"/>
    <n v="96"/>
    <n v="164"/>
  </r>
  <r>
    <x v="44"/>
    <x v="1"/>
    <x v="51"/>
    <n v="123"/>
    <n v="193"/>
    <n v="102.2"/>
    <n v="67"/>
    <n v="3"/>
    <n v="4.7790999999999997"/>
    <n v="94"/>
    <n v="48"/>
  </r>
  <r>
    <x v="19"/>
    <x v="1"/>
    <x v="50"/>
    <n v="65"/>
    <n v="187"/>
    <n v="105.6"/>
    <n v="67"/>
    <n v="2.79"/>
    <n v="4.2766999999999999"/>
    <n v="78"/>
    <n v="96"/>
  </r>
  <r>
    <x v="36"/>
    <x v="1"/>
    <x v="68"/>
    <n v="91"/>
    <n v="189"/>
    <n v="106.8"/>
    <n v="69"/>
    <n v="3"/>
    <n v="4.1897000000000002"/>
    <n v="69"/>
    <n v="90"/>
  </r>
  <r>
    <x v="9"/>
    <x v="1"/>
    <x v="62"/>
    <n v="71"/>
    <n v="156"/>
    <n v="97"/>
    <n v="38"/>
    <n v="4"/>
    <n v="4.6539999999999999"/>
    <n v="90"/>
    <n v="162"/>
  </r>
  <r>
    <x v="45"/>
    <x v="0"/>
    <x v="63"/>
    <n v="109"/>
    <n v="186"/>
    <n v="107.6"/>
    <n v="38"/>
    <n v="5"/>
    <n v="5.3083"/>
    <n v="99"/>
    <n v="150"/>
  </r>
  <r>
    <x v="18"/>
    <x v="1"/>
    <x v="69"/>
    <n v="87.33"/>
    <n v="205"/>
    <n v="142.6"/>
    <n v="41"/>
    <n v="5"/>
    <n v="4.6727999999999996"/>
    <n v="110"/>
    <n v="279"/>
  </r>
  <r>
    <x v="43"/>
    <x v="0"/>
    <x v="70"/>
    <n v="91"/>
    <n v="178"/>
    <n v="106.6"/>
    <n v="52"/>
    <n v="3"/>
    <n v="4.5747"/>
    <n v="75"/>
    <n v="92"/>
  </r>
  <r>
    <x v="1"/>
    <x v="1"/>
    <x v="50"/>
    <n v="98"/>
    <n v="209"/>
    <n v="139.4"/>
    <n v="46"/>
    <n v="5"/>
    <n v="4.7706999999999997"/>
    <n v="78"/>
    <n v="83"/>
  </r>
  <r>
    <x v="12"/>
    <x v="1"/>
    <x v="10"/>
    <n v="88"/>
    <n v="233"/>
    <n v="143.80000000000001"/>
    <n v="58"/>
    <n v="4"/>
    <n v="5.0499000000000001"/>
    <n v="91"/>
    <n v="128"/>
  </r>
  <r>
    <x v="12"/>
    <x v="0"/>
    <x v="71"/>
    <n v="113"/>
    <n v="197"/>
    <n v="115.2"/>
    <n v="67"/>
    <n v="3"/>
    <n v="4.3041"/>
    <n v="100"/>
    <n v="102"/>
  </r>
  <r>
    <x v="5"/>
    <x v="1"/>
    <x v="61"/>
    <n v="90"/>
    <n v="216"/>
    <n v="131.4"/>
    <n v="65"/>
    <n v="3"/>
    <n v="4.585"/>
    <n v="91"/>
    <n v="302"/>
  </r>
  <r>
    <x v="38"/>
    <x v="0"/>
    <x v="49"/>
    <n v="98"/>
    <n v="219"/>
    <n v="160.6"/>
    <n v="40"/>
    <n v="5"/>
    <n v="4.5217999999999998"/>
    <n v="84"/>
    <n v="198"/>
  </r>
  <r>
    <x v="18"/>
    <x v="1"/>
    <x v="72"/>
    <n v="94"/>
    <n v="171"/>
    <n v="104.4"/>
    <n v="56"/>
    <n v="3"/>
    <n v="3.9702999999999999"/>
    <n v="76"/>
    <n v="95"/>
  </r>
  <r>
    <x v="46"/>
    <x v="0"/>
    <x v="73"/>
    <n v="83"/>
    <n v="166"/>
    <n v="101.6"/>
    <n v="46"/>
    <n v="4"/>
    <n v="4.5217999999999998"/>
    <n v="96"/>
    <n v="53"/>
  </r>
  <r>
    <x v="10"/>
    <x v="1"/>
    <x v="74"/>
    <n v="82"/>
    <n v="156"/>
    <n v="93.2"/>
    <n v="52"/>
    <n v="3"/>
    <n v="3.9889999999999999"/>
    <n v="71"/>
    <n v="134"/>
  </r>
  <r>
    <x v="11"/>
    <x v="1"/>
    <x v="75"/>
    <n v="78.67"/>
    <n v="187"/>
    <n v="141.4"/>
    <n v="34"/>
    <n v="5.5"/>
    <n v="4.0603999999999996"/>
    <n v="90"/>
    <n v="144"/>
  </r>
  <r>
    <x v="34"/>
    <x v="0"/>
    <x v="76"/>
    <n v="103.33"/>
    <n v="144"/>
    <n v="79.8"/>
    <n v="30"/>
    <n v="4.8"/>
    <n v="5.1417000000000002"/>
    <n v="101"/>
    <n v="232"/>
  </r>
  <r>
    <x v="0"/>
    <x v="0"/>
    <x v="45"/>
    <n v="95.33"/>
    <n v="190"/>
    <n v="139.4"/>
    <n v="35"/>
    <n v="5.43"/>
    <n v="4.3567"/>
    <n v="117"/>
    <n v="81"/>
  </r>
  <r>
    <x v="8"/>
    <x v="0"/>
    <x v="73"/>
    <n v="88"/>
    <n v="153"/>
    <n v="89.8"/>
    <n v="58"/>
    <n v="3"/>
    <n v="3.2581000000000002"/>
    <n v="95"/>
    <n v="104"/>
  </r>
  <r>
    <x v="34"/>
    <x v="1"/>
    <x v="51"/>
    <n v="87"/>
    <n v="206"/>
    <n v="122"/>
    <n v="68"/>
    <n v="3"/>
    <n v="4.3819999999999997"/>
    <n v="80"/>
    <n v="59"/>
  </r>
  <r>
    <x v="20"/>
    <x v="1"/>
    <x v="77"/>
    <n v="87"/>
    <n v="193"/>
    <n v="128"/>
    <n v="49"/>
    <n v="4"/>
    <n v="4.3819999999999997"/>
    <n v="92"/>
    <n v="246"/>
  </r>
  <r>
    <x v="34"/>
    <x v="0"/>
    <x v="35"/>
    <n v="113"/>
    <n v="200"/>
    <n v="128.4"/>
    <n v="37"/>
    <n v="5"/>
    <n v="5.1532999999999998"/>
    <n v="113"/>
    <n v="297"/>
  </r>
  <r>
    <x v="46"/>
    <x v="1"/>
    <x v="78"/>
    <n v="113"/>
    <n v="199"/>
    <n v="94.4"/>
    <n v="43"/>
    <n v="4.63"/>
    <n v="5.7301000000000002"/>
    <n v="97"/>
    <n v="258"/>
  </r>
  <r>
    <x v="40"/>
    <x v="0"/>
    <x v="79"/>
    <n v="93"/>
    <n v="236"/>
    <n v="147"/>
    <n v="37"/>
    <n v="7"/>
    <n v="5.5606999999999998"/>
    <n v="92"/>
    <n v="229"/>
  </r>
  <r>
    <x v="30"/>
    <x v="0"/>
    <x v="80"/>
    <n v="115"/>
    <n v="199"/>
    <n v="128.6"/>
    <n v="44"/>
    <n v="5"/>
    <n v="4.8827999999999996"/>
    <n v="98"/>
    <n v="275"/>
  </r>
  <r>
    <x v="38"/>
    <x v="1"/>
    <x v="25"/>
    <n v="120"/>
    <n v="222"/>
    <n v="135.6"/>
    <n v="37"/>
    <n v="6"/>
    <n v="5.5094000000000003"/>
    <n v="124"/>
    <n v="281"/>
  </r>
  <r>
    <x v="35"/>
    <x v="0"/>
    <x v="16"/>
    <n v="102"/>
    <n v="206"/>
    <n v="141"/>
    <n v="39"/>
    <n v="5"/>
    <n v="4.8674999999999997"/>
    <n v="105"/>
    <n v="179"/>
  </r>
  <r>
    <x v="12"/>
    <x v="1"/>
    <x v="6"/>
    <n v="94"/>
    <n v="175"/>
    <n v="88"/>
    <n v="59"/>
    <n v="3"/>
    <n v="4.9416000000000002"/>
    <n v="98"/>
    <n v="200"/>
  </r>
  <r>
    <x v="19"/>
    <x v="1"/>
    <x v="51"/>
    <n v="98"/>
    <n v="162"/>
    <n v="103.6"/>
    <n v="45"/>
    <n v="4"/>
    <n v="4.2046999999999999"/>
    <n v="86"/>
    <n v="200"/>
  </r>
  <r>
    <x v="7"/>
    <x v="1"/>
    <x v="10"/>
    <n v="101"/>
    <n v="195"/>
    <n v="129.19999999999999"/>
    <n v="40"/>
    <n v="5"/>
    <n v="4.8597999999999999"/>
    <n v="94"/>
    <n v="173"/>
  </r>
  <r>
    <x v="30"/>
    <x v="0"/>
    <x v="81"/>
    <n v="101"/>
    <n v="221"/>
    <n v="156.4"/>
    <n v="35"/>
    <n v="6"/>
    <n v="4.9972000000000003"/>
    <n v="103"/>
    <n v="180"/>
  </r>
  <r>
    <x v="4"/>
    <x v="0"/>
    <x v="82"/>
    <n v="94.33"/>
    <n v="300"/>
    <n v="242.4"/>
    <n v="33"/>
    <n v="9.09"/>
    <n v="4.8121999999999998"/>
    <n v="109"/>
    <n v="84"/>
  </r>
  <r>
    <x v="15"/>
    <x v="1"/>
    <x v="83"/>
    <n v="97"/>
    <n v="164"/>
    <n v="90.6"/>
    <n v="56"/>
    <n v="3"/>
    <n v="4.4659000000000004"/>
    <n v="88"/>
    <n v="121"/>
  </r>
  <r>
    <x v="15"/>
    <x v="0"/>
    <x v="36"/>
    <n v="94"/>
    <n v="165"/>
    <n v="74.8"/>
    <n v="40"/>
    <n v="4"/>
    <n v="5.5255000000000001"/>
    <n v="93"/>
    <n v="161"/>
  </r>
  <r>
    <x v="3"/>
    <x v="1"/>
    <x v="84"/>
    <n v="87"/>
    <n v="149"/>
    <n v="80.599999999999994"/>
    <n v="61"/>
    <n v="2"/>
    <n v="3.6109"/>
    <n v="78"/>
    <n v="99"/>
  </r>
  <r>
    <x v="28"/>
    <x v="0"/>
    <x v="7"/>
    <n v="91"/>
    <n v="217"/>
    <n v="124.2"/>
    <n v="71"/>
    <n v="3"/>
    <n v="4.6913"/>
    <n v="68"/>
    <n v="109"/>
  </r>
  <r>
    <x v="14"/>
    <x v="1"/>
    <x v="85"/>
    <n v="87"/>
    <n v="185"/>
    <n v="112.2"/>
    <n v="58"/>
    <n v="3"/>
    <n v="4.3041"/>
    <n v="74"/>
    <n v="115"/>
  </r>
  <r>
    <x v="47"/>
    <x v="1"/>
    <x v="44"/>
    <n v="96"/>
    <n v="196"/>
    <n v="122.2"/>
    <n v="42"/>
    <n v="5"/>
    <n v="5.0689000000000002"/>
    <n v="120"/>
    <n v="268"/>
  </r>
  <r>
    <x v="21"/>
    <x v="0"/>
    <x v="86"/>
    <n v="125"/>
    <n v="187"/>
    <n v="112.4"/>
    <n v="48"/>
    <n v="4"/>
    <n v="4.8902999999999999"/>
    <n v="109"/>
    <n v="274"/>
  </r>
  <r>
    <x v="10"/>
    <x v="1"/>
    <x v="57"/>
    <n v="75"/>
    <n v="175"/>
    <n v="108.6"/>
    <n v="54"/>
    <n v="3"/>
    <n v="4.1271000000000004"/>
    <n v="72"/>
    <n v="158"/>
  </r>
  <r>
    <x v="12"/>
    <x v="0"/>
    <x v="25"/>
    <n v="92"/>
    <n v="214"/>
    <n v="146"/>
    <n v="50"/>
    <n v="4"/>
    <n v="4.4997999999999996"/>
    <n v="97"/>
    <n v="107"/>
  </r>
  <r>
    <x v="37"/>
    <x v="0"/>
    <x v="87"/>
    <n v="83"/>
    <n v="128"/>
    <n v="69.599999999999994"/>
    <n v="49"/>
    <n v="3"/>
    <n v="3.8500999999999999"/>
    <n v="84"/>
    <n v="83"/>
  </r>
  <r>
    <x v="48"/>
    <x v="1"/>
    <x v="88"/>
    <n v="85"/>
    <n v="198"/>
    <n v="115.6"/>
    <n v="67"/>
    <n v="3"/>
    <n v="4.3437999999999999"/>
    <n v="80"/>
    <n v="103"/>
  </r>
  <r>
    <x v="15"/>
    <x v="1"/>
    <x v="89"/>
    <n v="84"/>
    <n v="154"/>
    <n v="88"/>
    <n v="30"/>
    <n v="5.0999999999999996"/>
    <n v="5.1985000000000001"/>
    <n v="105"/>
    <n v="272"/>
  </r>
  <r>
    <x v="5"/>
    <x v="1"/>
    <x v="90"/>
    <n v="78"/>
    <n v="145"/>
    <n v="72"/>
    <n v="63"/>
    <n v="2"/>
    <n v="3.9119999999999999"/>
    <n v="86"/>
    <n v="85"/>
  </r>
  <r>
    <x v="4"/>
    <x v="1"/>
    <x v="75"/>
    <n v="123"/>
    <n v="178"/>
    <n v="105"/>
    <n v="48"/>
    <n v="4"/>
    <n v="4.8282999999999996"/>
    <n v="88"/>
    <n v="280"/>
  </r>
  <r>
    <x v="28"/>
    <x v="0"/>
    <x v="91"/>
    <n v="117"/>
    <n v="166"/>
    <n v="93.8"/>
    <n v="44"/>
    <n v="4"/>
    <n v="4.9488000000000003"/>
    <n v="109"/>
    <n v="336"/>
  </r>
  <r>
    <x v="46"/>
    <x v="1"/>
    <x v="0"/>
    <n v="110"/>
    <n v="164"/>
    <n v="84.2"/>
    <n v="42"/>
    <n v="4"/>
    <n v="5.2416999999999998"/>
    <n v="90"/>
    <n v="281"/>
  </r>
  <r>
    <x v="8"/>
    <x v="0"/>
    <x v="35"/>
    <n v="107"/>
    <n v="167"/>
    <n v="114.6"/>
    <n v="38"/>
    <n v="4"/>
    <n v="4.2766999999999999"/>
    <n v="95"/>
    <n v="118"/>
  </r>
  <r>
    <x v="18"/>
    <x v="1"/>
    <x v="92"/>
    <n v="81"/>
    <n v="214"/>
    <n v="152"/>
    <n v="28"/>
    <n v="7.6"/>
    <n v="5.1357999999999997"/>
    <n v="123"/>
    <n v="317"/>
  </r>
  <r>
    <x v="8"/>
    <x v="0"/>
    <x v="15"/>
    <n v="106"/>
    <n v="229"/>
    <n v="143.80000000000001"/>
    <n v="51"/>
    <n v="4"/>
    <n v="5.1417000000000002"/>
    <n v="91"/>
    <n v="235"/>
  </r>
  <r>
    <x v="40"/>
    <x v="1"/>
    <x v="93"/>
    <n v="92"/>
    <n v="203"/>
    <n v="119.8"/>
    <n v="70"/>
    <n v="3"/>
    <n v="4.1897000000000002"/>
    <n v="81"/>
    <n v="60"/>
  </r>
  <r>
    <x v="29"/>
    <x v="0"/>
    <x v="94"/>
    <n v="90"/>
    <n v="204"/>
    <n v="147.80000000000001"/>
    <n v="34"/>
    <n v="6"/>
    <n v="4.7095000000000002"/>
    <n v="93"/>
    <n v="174"/>
  </r>
  <r>
    <x v="37"/>
    <x v="1"/>
    <x v="95"/>
    <n v="113"/>
    <n v="165"/>
    <n v="94.6"/>
    <n v="53"/>
    <n v="3"/>
    <n v="4.4659000000000004"/>
    <n v="79"/>
    <n v="259"/>
  </r>
  <r>
    <x v="40"/>
    <x v="0"/>
    <x v="24"/>
    <n v="95"/>
    <n v="198"/>
    <n v="135.6"/>
    <n v="38"/>
    <n v="5"/>
    <n v="4.8040000000000003"/>
    <n v="93"/>
    <n v="178"/>
  </r>
  <r>
    <x v="35"/>
    <x v="1"/>
    <x v="96"/>
    <n v="89"/>
    <n v="200"/>
    <n v="130.4"/>
    <n v="42"/>
    <n v="4.76"/>
    <n v="4.9272999999999998"/>
    <n v="101"/>
    <n v="128"/>
  </r>
  <r>
    <x v="27"/>
    <x v="0"/>
    <x v="97"/>
    <n v="89"/>
    <n v="216"/>
    <n v="146.19999999999999"/>
    <n v="55"/>
    <n v="4"/>
    <n v="4.3041"/>
    <n v="91"/>
    <n v="96"/>
  </r>
  <r>
    <x v="19"/>
    <x v="0"/>
    <x v="70"/>
    <n v="81"/>
    <n v="174"/>
    <n v="102.4"/>
    <n v="31"/>
    <n v="6"/>
    <n v="5.3132000000000001"/>
    <n v="82"/>
    <n v="126"/>
  </r>
  <r>
    <x v="46"/>
    <x v="1"/>
    <x v="98"/>
    <n v="102"/>
    <n v="164"/>
    <n v="106.2"/>
    <n v="41"/>
    <n v="4"/>
    <n v="4.4307999999999996"/>
    <n v="89"/>
    <n v="288"/>
  </r>
  <r>
    <x v="43"/>
    <x v="1"/>
    <x v="19"/>
    <n v="93"/>
    <n v="183"/>
    <n v="100.2"/>
    <n v="64"/>
    <n v="3"/>
    <n v="4.5433000000000003"/>
    <n v="88"/>
    <n v="88"/>
  </r>
  <r>
    <x v="39"/>
    <x v="0"/>
    <x v="99"/>
    <n v="115"/>
    <n v="218"/>
    <n v="158.19999999999999"/>
    <n v="32"/>
    <n v="7"/>
    <n v="4.9344999999999999"/>
    <n v="109"/>
    <n v="292"/>
  </r>
  <r>
    <x v="8"/>
    <x v="0"/>
    <x v="100"/>
    <n v="113"/>
    <n v="186"/>
    <n v="125.8"/>
    <n v="46"/>
    <n v="4"/>
    <n v="4.2626999999999997"/>
    <n v="94"/>
    <n v="71"/>
  </r>
  <r>
    <x v="26"/>
    <x v="0"/>
    <x v="77"/>
    <n v="93"/>
    <n v="204"/>
    <n v="132.19999999999999"/>
    <n v="49"/>
    <n v="4"/>
    <n v="4.7362000000000002"/>
    <n v="92"/>
    <n v="197"/>
  </r>
  <r>
    <x v="18"/>
    <x v="0"/>
    <x v="20"/>
    <n v="109"/>
    <n v="251"/>
    <n v="170.6"/>
    <n v="49"/>
    <n v="5"/>
    <n v="5.0561999999999996"/>
    <n v="103"/>
    <n v="186"/>
  </r>
  <r>
    <x v="42"/>
    <x v="1"/>
    <x v="16"/>
    <n v="95"/>
    <n v="162"/>
    <n v="92.6"/>
    <n v="53"/>
    <n v="3"/>
    <n v="4.4066999999999998"/>
    <n v="83"/>
    <n v="25"/>
  </r>
  <r>
    <x v="1"/>
    <x v="0"/>
    <x v="101"/>
    <n v="89.33"/>
    <n v="212"/>
    <n v="142.80000000000001"/>
    <n v="46"/>
    <n v="4.6100000000000003"/>
    <n v="4.7535999999999996"/>
    <n v="98"/>
    <n v="84"/>
  </r>
  <r>
    <x v="49"/>
    <x v="1"/>
    <x v="27"/>
    <n v="74.33"/>
    <n v="190"/>
    <n v="126.2"/>
    <n v="49"/>
    <n v="3.88"/>
    <n v="4.3041"/>
    <n v="79"/>
    <n v="96"/>
  </r>
  <r>
    <x v="15"/>
    <x v="1"/>
    <x v="88"/>
    <n v="120"/>
    <n v="199"/>
    <n v="120"/>
    <n v="46"/>
    <n v="4"/>
    <n v="5.1059000000000001"/>
    <n v="87"/>
    <n v="195"/>
  </r>
  <r>
    <x v="32"/>
    <x v="1"/>
    <x v="85"/>
    <n v="73"/>
    <n v="172"/>
    <n v="107"/>
    <n v="51"/>
    <n v="3"/>
    <n v="4.2484999999999999"/>
    <n v="80"/>
    <n v="53"/>
  </r>
  <r>
    <x v="6"/>
    <x v="0"/>
    <x v="102"/>
    <n v="115"/>
    <n v="286"/>
    <n v="199.4"/>
    <n v="39"/>
    <n v="7"/>
    <n v="5.4722999999999997"/>
    <n v="112"/>
    <n v="217"/>
  </r>
  <r>
    <x v="14"/>
    <x v="1"/>
    <x v="103"/>
    <n v="73"/>
    <n v="172"/>
    <n v="108.2"/>
    <n v="49"/>
    <n v="4"/>
    <n v="4.3041"/>
    <n v="91"/>
    <n v="172"/>
  </r>
  <r>
    <x v="12"/>
    <x v="0"/>
    <x v="104"/>
    <n v="117"/>
    <n v="183"/>
    <n v="119"/>
    <n v="48"/>
    <n v="4"/>
    <n v="4.3819999999999997"/>
    <n v="106"/>
    <n v="131"/>
  </r>
  <r>
    <x v="13"/>
    <x v="1"/>
    <x v="105"/>
    <n v="101"/>
    <n v="209"/>
    <n v="106.8"/>
    <n v="77"/>
    <n v="3"/>
    <n v="4.8362999999999996"/>
    <n v="88"/>
    <n v="214"/>
  </r>
  <r>
    <x v="37"/>
    <x v="1"/>
    <x v="106"/>
    <n v="81"/>
    <n v="162"/>
    <n v="87.8"/>
    <n v="63"/>
    <n v="3"/>
    <n v="4.0254000000000003"/>
    <n v="88"/>
    <n v="59"/>
  </r>
  <r>
    <x v="35"/>
    <x v="0"/>
    <x v="107"/>
    <n v="84"/>
    <n v="125"/>
    <n v="70.2"/>
    <n v="46"/>
    <n v="3"/>
    <n v="3.7841999999999998"/>
    <n v="66"/>
    <n v="70"/>
  </r>
  <r>
    <x v="16"/>
    <x v="1"/>
    <x v="108"/>
    <n v="105.67"/>
    <n v="205"/>
    <n v="116.4"/>
    <n v="40"/>
    <n v="5.13"/>
    <n v="5.4931000000000001"/>
    <n v="117"/>
    <n v="220"/>
  </r>
  <r>
    <x v="43"/>
    <x v="0"/>
    <x v="24"/>
    <n v="94"/>
    <n v="234"/>
    <n v="155.80000000000001"/>
    <n v="34"/>
    <n v="7"/>
    <n v="5.3982000000000001"/>
    <n v="122"/>
    <n v="268"/>
  </r>
  <r>
    <x v="1"/>
    <x v="1"/>
    <x v="109"/>
    <n v="109"/>
    <n v="232"/>
    <n v="105.2"/>
    <n v="37"/>
    <n v="6"/>
    <n v="6.1070000000000002"/>
    <n v="96"/>
    <n v="152"/>
  </r>
  <r>
    <x v="46"/>
    <x v="0"/>
    <x v="59"/>
    <n v="84"/>
    <n v="179"/>
    <n v="105.8"/>
    <n v="66"/>
    <n v="3"/>
    <n v="3.5834999999999999"/>
    <n v="87"/>
    <n v="47"/>
  </r>
  <r>
    <x v="44"/>
    <x v="1"/>
    <x v="56"/>
    <n v="66"/>
    <n v="134"/>
    <n v="77.2"/>
    <n v="45"/>
    <n v="3"/>
    <n v="4.0774999999999997"/>
    <n v="80"/>
    <n v="74"/>
  </r>
  <r>
    <x v="8"/>
    <x v="0"/>
    <x v="34"/>
    <n v="97"/>
    <n v="217"/>
    <n v="125.6"/>
    <n v="45"/>
    <n v="5"/>
    <n v="5.4466999999999999"/>
    <n v="112"/>
    <n v="295"/>
  </r>
  <r>
    <x v="21"/>
    <x v="0"/>
    <x v="110"/>
    <n v="93"/>
    <n v="137"/>
    <n v="73"/>
    <n v="47"/>
    <n v="3"/>
    <n v="4.4427000000000003"/>
    <n v="78"/>
    <n v="101"/>
  </r>
  <r>
    <x v="12"/>
    <x v="0"/>
    <x v="63"/>
    <n v="82"/>
    <n v="119"/>
    <n v="55"/>
    <n v="39"/>
    <n v="3"/>
    <n v="4.8282999999999996"/>
    <n v="93"/>
    <n v="151"/>
  </r>
  <r>
    <x v="26"/>
    <x v="1"/>
    <x v="111"/>
    <n v="87"/>
    <n v="166"/>
    <n v="98.6"/>
    <n v="52"/>
    <n v="3"/>
    <n v="4.3437999999999999"/>
    <n v="92"/>
    <n v="127"/>
  </r>
  <r>
    <x v="13"/>
    <x v="0"/>
    <x v="112"/>
    <n v="106"/>
    <n v="204"/>
    <n v="132"/>
    <n v="52"/>
    <n v="4"/>
    <n v="4.6052"/>
    <n v="96"/>
    <n v="237"/>
  </r>
  <r>
    <x v="30"/>
    <x v="1"/>
    <x v="113"/>
    <n v="87.33"/>
    <n v="206"/>
    <n v="127.2"/>
    <n v="33"/>
    <n v="6.24"/>
    <n v="5.4337"/>
    <n v="99"/>
    <n v="225"/>
  </r>
  <r>
    <x v="8"/>
    <x v="1"/>
    <x v="36"/>
    <n v="87"/>
    <n v="207"/>
    <n v="125.8"/>
    <n v="69"/>
    <n v="3"/>
    <n v="4.1109"/>
    <n v="84"/>
    <n v="81"/>
  </r>
  <r>
    <x v="24"/>
    <x v="1"/>
    <x v="46"/>
    <n v="91"/>
    <n v="204"/>
    <n v="141.80000000000001"/>
    <n v="38"/>
    <n v="5"/>
    <n v="4.7957999999999998"/>
    <n v="89"/>
    <n v="151"/>
  </r>
  <r>
    <x v="17"/>
    <x v="0"/>
    <x v="51"/>
    <n v="105"/>
    <n v="181"/>
    <n v="119.2"/>
    <n v="37"/>
    <n v="5"/>
    <n v="4.8202999999999996"/>
    <n v="91"/>
    <n v="107"/>
  </r>
  <r>
    <x v="30"/>
    <x v="1"/>
    <x v="114"/>
    <n v="79"/>
    <n v="222"/>
    <n v="147.4"/>
    <n v="59"/>
    <n v="4"/>
    <n v="4.3567"/>
    <n v="76"/>
    <n v="64"/>
  </r>
  <r>
    <x v="13"/>
    <x v="0"/>
    <x v="93"/>
    <n v="111"/>
    <n v="236"/>
    <n v="172.4"/>
    <n v="39"/>
    <n v="6"/>
    <n v="4.8121999999999998"/>
    <n v="89"/>
    <n v="138"/>
  </r>
  <r>
    <x v="13"/>
    <x v="0"/>
    <x v="40"/>
    <n v="113"/>
    <n v="186"/>
    <n v="114.4"/>
    <n v="47"/>
    <n v="4"/>
    <n v="4.8121999999999998"/>
    <n v="105"/>
    <n v="185"/>
  </r>
  <r>
    <x v="12"/>
    <x v="1"/>
    <x v="83"/>
    <n v="88"/>
    <n v="171"/>
    <n v="98.8"/>
    <n v="41"/>
    <n v="4"/>
    <n v="5.0499000000000001"/>
    <n v="99"/>
    <n v="265"/>
  </r>
  <r>
    <x v="48"/>
    <x v="0"/>
    <x v="13"/>
    <n v="97"/>
    <n v="175"/>
    <n v="99.6"/>
    <n v="32"/>
    <n v="5"/>
    <n v="5.3799000000000001"/>
    <n v="87"/>
    <n v="101"/>
  </r>
  <r>
    <x v="50"/>
    <x v="0"/>
    <x v="14"/>
    <n v="89"/>
    <n v="218"/>
    <n v="152.19999999999999"/>
    <n v="31"/>
    <n v="7"/>
    <n v="5.1590999999999996"/>
    <n v="82"/>
    <n v="137"/>
  </r>
  <r>
    <x v="22"/>
    <x v="1"/>
    <x v="115"/>
    <n v="87"/>
    <n v="134"/>
    <n v="63"/>
    <n v="63"/>
    <n v="2"/>
    <n v="3.6888999999999998"/>
    <n v="66"/>
    <n v="143"/>
  </r>
  <r>
    <x v="4"/>
    <x v="1"/>
    <x v="116"/>
    <n v="109"/>
    <n v="243"/>
    <n v="160.6"/>
    <n v="62"/>
    <n v="4"/>
    <n v="4.625"/>
    <n v="89"/>
    <n v="141"/>
  </r>
  <r>
    <x v="1"/>
    <x v="1"/>
    <x v="106"/>
    <n v="95"/>
    <n v="187"/>
    <n v="117.4"/>
    <n v="53"/>
    <n v="4"/>
    <n v="4.4188000000000001"/>
    <n v="85"/>
    <n v="79"/>
  </r>
  <r>
    <x v="47"/>
    <x v="1"/>
    <x v="22"/>
    <n v="103"/>
    <n v="176"/>
    <n v="112.2"/>
    <n v="37"/>
    <n v="5"/>
    <n v="4.8978000000000002"/>
    <n v="90"/>
    <n v="292"/>
  </r>
  <r>
    <x v="15"/>
    <x v="0"/>
    <x v="42"/>
    <n v="82"/>
    <n v="131"/>
    <n v="66.8"/>
    <n v="41"/>
    <n v="3"/>
    <n v="4.7535999999999996"/>
    <n v="89"/>
    <n v="178"/>
  </r>
  <r>
    <x v="45"/>
    <x v="0"/>
    <x v="31"/>
    <n v="97"/>
    <n v="203"/>
    <n v="129"/>
    <n v="59"/>
    <n v="3"/>
    <n v="4.3174999999999999"/>
    <n v="77"/>
    <n v="91"/>
  </r>
  <r>
    <x v="47"/>
    <x v="0"/>
    <x v="70"/>
    <n v="76"/>
    <n v="240"/>
    <n v="169"/>
    <n v="39"/>
    <n v="6"/>
    <n v="5.0751999999999997"/>
    <n v="96"/>
    <n v="116"/>
  </r>
  <r>
    <x v="22"/>
    <x v="1"/>
    <x v="117"/>
    <n v="104"/>
    <n v="152"/>
    <n v="83.8"/>
    <n v="47"/>
    <n v="3"/>
    <n v="4.6634000000000002"/>
    <n v="97"/>
    <n v="86"/>
  </r>
  <r>
    <x v="11"/>
    <x v="0"/>
    <x v="47"/>
    <n v="99"/>
    <n v="208"/>
    <n v="146.4"/>
    <n v="39"/>
    <n v="5"/>
    <n v="4.7274000000000003"/>
    <n v="97"/>
    <n v="122"/>
  </r>
  <r>
    <x v="24"/>
    <x v="1"/>
    <x v="56"/>
    <n v="85"/>
    <n v="213"/>
    <n v="138.6"/>
    <n v="60"/>
    <n v="4"/>
    <n v="4.2766999999999999"/>
    <n v="94"/>
    <n v="72"/>
  </r>
  <r>
    <x v="30"/>
    <x v="0"/>
    <x v="118"/>
    <n v="115"/>
    <n v="183"/>
    <n v="124"/>
    <n v="35"/>
    <n v="5"/>
    <n v="4.7874999999999996"/>
    <n v="100"/>
    <n v="129"/>
  </r>
  <r>
    <x v="14"/>
    <x v="1"/>
    <x v="119"/>
    <n v="87"/>
    <n v="149"/>
    <n v="93.8"/>
    <n v="46"/>
    <n v="3"/>
    <n v="3.8285999999999998"/>
    <n v="77"/>
    <n v="142"/>
  </r>
  <r>
    <x v="8"/>
    <x v="1"/>
    <x v="71"/>
    <n v="104.67"/>
    <n v="221"/>
    <n v="105.4"/>
    <n v="60"/>
    <n v="3.68"/>
    <n v="5.6276000000000002"/>
    <n v="93"/>
    <n v="90"/>
  </r>
  <r>
    <x v="45"/>
    <x v="1"/>
    <x v="62"/>
    <n v="92.33"/>
    <n v="227"/>
    <n v="146.80000000000001"/>
    <n v="65"/>
    <n v="3.49"/>
    <n v="4.3307000000000002"/>
    <n v="102"/>
    <n v="158"/>
  </r>
  <r>
    <x v="39"/>
    <x v="0"/>
    <x v="120"/>
    <n v="90"/>
    <n v="182"/>
    <n v="110.4"/>
    <n v="60"/>
    <n v="3"/>
    <n v="4.0603999999999996"/>
    <n v="98"/>
    <n v="39"/>
  </r>
  <r>
    <x v="51"/>
    <x v="0"/>
    <x v="79"/>
    <n v="105"/>
    <n v="281"/>
    <n v="173.6"/>
    <n v="55"/>
    <n v="5"/>
    <n v="5.5682999999999998"/>
    <n v="84"/>
    <n v="196"/>
  </r>
  <r>
    <x v="1"/>
    <x v="0"/>
    <x v="103"/>
    <n v="110"/>
    <n v="218"/>
    <n v="151.6"/>
    <n v="39"/>
    <n v="6"/>
    <n v="4.92"/>
    <n v="98"/>
    <n v="222"/>
  </r>
  <r>
    <x v="52"/>
    <x v="0"/>
    <x v="121"/>
    <n v="103"/>
    <n v="169"/>
    <n v="110.8"/>
    <n v="37"/>
    <n v="5"/>
    <n v="4.6634000000000002"/>
    <n v="110"/>
    <n v="277"/>
  </r>
  <r>
    <x v="40"/>
    <x v="1"/>
    <x v="94"/>
    <n v="99"/>
    <n v="177"/>
    <n v="85.4"/>
    <n v="50"/>
    <n v="4"/>
    <n v="5.3375000000000004"/>
    <n v="85"/>
    <n v="99"/>
  </r>
  <r>
    <x v="43"/>
    <x v="0"/>
    <x v="122"/>
    <n v="92"/>
    <n v="207"/>
    <n v="140"/>
    <n v="44"/>
    <n v="5"/>
    <n v="4.7449000000000003"/>
    <n v="92"/>
    <n v="196"/>
  </r>
  <r>
    <x v="47"/>
    <x v="1"/>
    <x v="76"/>
    <n v="103"/>
    <n v="198"/>
    <n v="106.6"/>
    <n v="57"/>
    <n v="3"/>
    <n v="5.1475"/>
    <n v="100"/>
    <n v="202"/>
  </r>
  <r>
    <x v="29"/>
    <x v="1"/>
    <x v="123"/>
    <n v="117"/>
    <n v="202"/>
    <n v="139.6"/>
    <n v="42"/>
    <n v="5"/>
    <n v="4.625"/>
    <n v="120"/>
    <n v="155"/>
  </r>
  <r>
    <x v="0"/>
    <x v="0"/>
    <x v="13"/>
    <n v="114"/>
    <n v="152"/>
    <n v="104.8"/>
    <n v="29"/>
    <n v="5"/>
    <n v="4.5109000000000004"/>
    <n v="88"/>
    <n v="77"/>
  </r>
  <r>
    <x v="47"/>
    <x v="1"/>
    <x v="35"/>
    <n v="99"/>
    <n v="229"/>
    <n v="145.6"/>
    <n v="69"/>
    <n v="3"/>
    <n v="4.2766999999999999"/>
    <n v="77"/>
    <n v="191"/>
  </r>
  <r>
    <x v="53"/>
    <x v="1"/>
    <x v="124"/>
    <n v="101"/>
    <n v="171"/>
    <n v="104.8"/>
    <n v="50"/>
    <n v="3"/>
    <n v="4.3944000000000001"/>
    <n v="86"/>
    <n v="70"/>
  </r>
  <r>
    <x v="26"/>
    <x v="1"/>
    <x v="118"/>
    <n v="105"/>
    <n v="225"/>
    <n v="135.4"/>
    <n v="69"/>
    <n v="3"/>
    <n v="4.6346999999999996"/>
    <n v="96"/>
    <n v="73"/>
  </r>
  <r>
    <x v="43"/>
    <x v="1"/>
    <x v="125"/>
    <n v="88"/>
    <n v="188"/>
    <n v="114.8"/>
    <n v="57"/>
    <n v="3"/>
    <n v="4.3944000000000001"/>
    <n v="93"/>
    <n v="49"/>
  </r>
  <r>
    <x v="29"/>
    <x v="1"/>
    <x v="101"/>
    <n v="88"/>
    <n v="155"/>
    <n v="63.6"/>
    <n v="78"/>
    <n v="2"/>
    <n v="4.2046999999999999"/>
    <n v="78"/>
    <n v="65"/>
  </r>
  <r>
    <x v="11"/>
    <x v="0"/>
    <x v="126"/>
    <n v="123"/>
    <n v="164"/>
    <n v="95"/>
    <n v="38"/>
    <n v="4"/>
    <n v="5.0434000000000001"/>
    <n v="117"/>
    <n v="263"/>
  </r>
  <r>
    <x v="31"/>
    <x v="0"/>
    <x v="21"/>
    <n v="109"/>
    <n v="228"/>
    <n v="162.80000000000001"/>
    <n v="31"/>
    <n v="8"/>
    <n v="5.1417000000000002"/>
    <n v="103"/>
    <n v="248"/>
  </r>
  <r>
    <x v="54"/>
    <x v="1"/>
    <x v="127"/>
    <n v="124"/>
    <n v="223"/>
    <n v="139"/>
    <n v="54"/>
    <n v="4"/>
    <n v="5.0106000000000002"/>
    <n v="102"/>
    <n v="296"/>
  </r>
  <r>
    <x v="37"/>
    <x v="1"/>
    <x v="27"/>
    <n v="83"/>
    <n v="185"/>
    <n v="124.6"/>
    <n v="38"/>
    <n v="5"/>
    <n v="4.7184999999999997"/>
    <n v="88"/>
    <n v="214"/>
  </r>
  <r>
    <x v="3"/>
    <x v="1"/>
    <x v="42"/>
    <n v="89"/>
    <n v="141"/>
    <n v="68"/>
    <n v="52"/>
    <n v="3"/>
    <n v="4.6539999999999999"/>
    <n v="84"/>
    <n v="185"/>
  </r>
  <r>
    <x v="46"/>
    <x v="0"/>
    <x v="64"/>
    <n v="93"/>
    <n v="154"/>
    <n v="94.2"/>
    <n v="53"/>
    <n v="3"/>
    <n v="3.5264000000000002"/>
    <n v="75"/>
    <n v="78"/>
  </r>
  <r>
    <x v="6"/>
    <x v="1"/>
    <x v="111"/>
    <n v="87"/>
    <n v="178"/>
    <n v="116"/>
    <n v="41"/>
    <n v="4"/>
    <n v="4.6539999999999999"/>
    <n v="82"/>
    <n v="93"/>
  </r>
  <r>
    <x v="24"/>
    <x v="0"/>
    <x v="12"/>
    <n v="107"/>
    <n v="150"/>
    <n v="85"/>
    <n v="44"/>
    <n v="3"/>
    <n v="4.6539999999999999"/>
    <n v="96"/>
    <n v="252"/>
  </r>
  <r>
    <x v="33"/>
    <x v="1"/>
    <x v="38"/>
    <n v="76"/>
    <n v="147"/>
    <n v="77"/>
    <n v="53"/>
    <n v="3"/>
    <n v="4.4427000000000003"/>
    <n v="79"/>
    <n v="150"/>
  </r>
  <r>
    <x v="18"/>
    <x v="1"/>
    <x v="106"/>
    <n v="62"/>
    <n v="153"/>
    <n v="89"/>
    <n v="50"/>
    <n v="3"/>
    <n v="4.2484999999999999"/>
    <n v="89"/>
    <n v="77"/>
  </r>
  <r>
    <x v="29"/>
    <x v="0"/>
    <x v="128"/>
    <n v="109"/>
    <n v="160"/>
    <n v="87.6"/>
    <n v="31"/>
    <n v="5"/>
    <n v="5.3327"/>
    <n v="92"/>
    <n v="208"/>
  </r>
  <r>
    <x v="41"/>
    <x v="0"/>
    <x v="56"/>
    <n v="87"/>
    <n v="171"/>
    <n v="99.6"/>
    <n v="58"/>
    <n v="3"/>
    <n v="4.2046999999999999"/>
    <n v="78"/>
    <n v="77"/>
  </r>
  <r>
    <x v="26"/>
    <x v="0"/>
    <x v="55"/>
    <n v="111.33"/>
    <n v="189"/>
    <n v="105.4"/>
    <n v="70"/>
    <n v="2.7"/>
    <n v="4.2195"/>
    <n v="93"/>
    <n v="108"/>
  </r>
  <r>
    <x v="14"/>
    <x v="1"/>
    <x v="22"/>
    <n v="77"/>
    <n v="189"/>
    <n v="120.6"/>
    <n v="53"/>
    <n v="4"/>
    <n v="4.3437999999999999"/>
    <n v="79"/>
    <n v="160"/>
  </r>
  <r>
    <x v="18"/>
    <x v="0"/>
    <x v="46"/>
    <n v="86"/>
    <n v="192"/>
    <n v="115"/>
    <n v="61"/>
    <n v="3"/>
    <n v="4.3819999999999997"/>
    <n v="94"/>
    <n v="53"/>
  </r>
  <r>
    <x v="17"/>
    <x v="0"/>
    <x v="34"/>
    <n v="78"/>
    <n v="301"/>
    <n v="215"/>
    <n v="50"/>
    <n v="6.02"/>
    <n v="5.1929999999999996"/>
    <n v="108"/>
    <n v="220"/>
  </r>
  <r>
    <x v="47"/>
    <x v="1"/>
    <x v="31"/>
    <n v="101"/>
    <n v="195"/>
    <n v="121"/>
    <n v="51"/>
    <n v="4"/>
    <n v="4.7449000000000003"/>
    <n v="94"/>
    <n v="154"/>
  </r>
  <r>
    <x v="31"/>
    <x v="0"/>
    <x v="129"/>
    <n v="91.33"/>
    <n v="218"/>
    <n v="152"/>
    <n v="39"/>
    <n v="5.59"/>
    <n v="4.9053000000000004"/>
    <n v="99"/>
    <n v="259"/>
  </r>
  <r>
    <x v="26"/>
    <x v="1"/>
    <x v="124"/>
    <n v="80"/>
    <n v="172"/>
    <n v="93.4"/>
    <n v="63"/>
    <n v="3"/>
    <n v="4.3567"/>
    <n v="82"/>
    <n v="90"/>
  </r>
  <r>
    <x v="13"/>
    <x v="1"/>
    <x v="8"/>
    <n v="108"/>
    <n v="194"/>
    <n v="100"/>
    <n v="52"/>
    <n v="3.73"/>
    <n v="5.3471000000000002"/>
    <n v="105"/>
    <n v="246"/>
  </r>
  <r>
    <x v="26"/>
    <x v="0"/>
    <x v="54"/>
    <n v="111.67"/>
    <n v="146"/>
    <n v="93.4"/>
    <n v="33"/>
    <n v="4.42"/>
    <n v="4.585"/>
    <n v="103"/>
    <n v="124"/>
  </r>
  <r>
    <x v="11"/>
    <x v="1"/>
    <x v="121"/>
    <n v="105"/>
    <n v="247"/>
    <n v="160.6"/>
    <n v="54"/>
    <n v="5"/>
    <n v="5.0876000000000001"/>
    <n v="94"/>
    <n v="67"/>
  </r>
  <r>
    <x v="45"/>
    <x v="1"/>
    <x v="130"/>
    <n v="74.67"/>
    <n v="189"/>
    <n v="114.8"/>
    <n v="62"/>
    <n v="3.05"/>
    <n v="4.1109"/>
    <n v="91"/>
    <n v="72"/>
  </r>
  <r>
    <x v="28"/>
    <x v="0"/>
    <x v="45"/>
    <n v="112"/>
    <n v="163"/>
    <n v="110.6"/>
    <n v="29"/>
    <n v="6"/>
    <n v="4.7622"/>
    <n v="86"/>
    <n v="257"/>
  </r>
  <r>
    <x v="46"/>
    <x v="1"/>
    <x v="112"/>
    <n v="91"/>
    <n v="250"/>
    <n v="140.19999999999999"/>
    <n v="67"/>
    <n v="4"/>
    <n v="5.3659999999999997"/>
    <n v="103"/>
    <n v="262"/>
  </r>
  <r>
    <x v="30"/>
    <x v="0"/>
    <x v="131"/>
    <n v="114"/>
    <n v="182"/>
    <n v="114"/>
    <n v="38"/>
    <n v="5"/>
    <n v="5.0106000000000002"/>
    <n v="96"/>
    <n v="275"/>
  </r>
  <r>
    <x v="29"/>
    <x v="0"/>
    <x v="36"/>
    <n v="96"/>
    <n v="200"/>
    <n v="133"/>
    <n v="52"/>
    <n v="3.85"/>
    <n v="4.3174999999999999"/>
    <n v="105"/>
    <n v="177"/>
  </r>
  <r>
    <x v="41"/>
    <x v="0"/>
    <x v="38"/>
    <n v="88"/>
    <n v="126"/>
    <n v="72.2"/>
    <n v="45"/>
    <n v="3"/>
    <n v="3.7841999999999998"/>
    <n v="74"/>
    <n v="71"/>
  </r>
  <r>
    <x v="12"/>
    <x v="0"/>
    <x v="56"/>
    <n v="98"/>
    <n v="165"/>
    <n v="105.2"/>
    <n v="47"/>
    <n v="4"/>
    <n v="4.1589"/>
    <n v="81"/>
    <n v="47"/>
  </r>
  <r>
    <x v="27"/>
    <x v="0"/>
    <x v="119"/>
    <n v="89"/>
    <n v="153"/>
    <n v="84.2"/>
    <n v="56"/>
    <n v="3"/>
    <n v="4.1589"/>
    <n v="90"/>
    <n v="187"/>
  </r>
  <r>
    <x v="18"/>
    <x v="1"/>
    <x v="40"/>
    <n v="86"/>
    <n v="148"/>
    <n v="78"/>
    <n v="58"/>
    <n v="3"/>
    <n v="4.0942999999999996"/>
    <n v="60"/>
    <n v="125"/>
  </r>
  <r>
    <x v="8"/>
    <x v="1"/>
    <x v="73"/>
    <n v="76.67"/>
    <n v="247"/>
    <n v="148"/>
    <n v="65"/>
    <n v="3.8"/>
    <n v="5.1357999999999997"/>
    <n v="77"/>
    <n v="78"/>
  </r>
  <r>
    <x v="50"/>
    <x v="1"/>
    <x v="90"/>
    <n v="83"/>
    <n v="191"/>
    <n v="103.6"/>
    <n v="69"/>
    <n v="3"/>
    <n v="4.5217999999999998"/>
    <n v="69"/>
    <n v="51"/>
  </r>
  <r>
    <x v="37"/>
    <x v="1"/>
    <x v="92"/>
    <n v="112"/>
    <n v="282"/>
    <n v="197.2"/>
    <n v="43"/>
    <n v="7"/>
    <n v="5.3422999999999998"/>
    <n v="101"/>
    <n v="258"/>
  </r>
  <r>
    <x v="49"/>
    <x v="1"/>
    <x v="20"/>
    <n v="110"/>
    <n v="224"/>
    <n v="134.19999999999999"/>
    <n v="45"/>
    <n v="5"/>
    <n v="5.4116"/>
    <n v="93"/>
    <n v="215"/>
  </r>
  <r>
    <x v="26"/>
    <x v="1"/>
    <x v="89"/>
    <n v="116"/>
    <n v="179"/>
    <n v="90.4"/>
    <n v="41"/>
    <n v="4"/>
    <n v="5.4722999999999997"/>
    <n v="100"/>
    <n v="303"/>
  </r>
  <r>
    <x v="14"/>
    <x v="0"/>
    <x v="132"/>
    <n v="120"/>
    <n v="233"/>
    <n v="146.6"/>
    <n v="34"/>
    <n v="7"/>
    <n v="5.5682999999999998"/>
    <n v="101"/>
    <n v="243"/>
  </r>
  <r>
    <x v="4"/>
    <x v="1"/>
    <x v="24"/>
    <n v="78.33"/>
    <n v="207"/>
    <n v="149.19999999999999"/>
    <n v="38"/>
    <n v="5.45"/>
    <n v="4.5951000000000004"/>
    <n v="84"/>
    <n v="91"/>
  </r>
  <r>
    <x v="51"/>
    <x v="1"/>
    <x v="58"/>
    <n v="97"/>
    <n v="227"/>
    <n v="151.6"/>
    <n v="45"/>
    <n v="5"/>
    <n v="5.0239000000000003"/>
    <n v="108"/>
    <n v="150"/>
  </r>
  <r>
    <x v="29"/>
    <x v="0"/>
    <x v="89"/>
    <n v="117"/>
    <n v="225"/>
    <n v="107.6"/>
    <n v="40"/>
    <n v="6"/>
    <n v="5.9584000000000001"/>
    <n v="113"/>
    <n v="310"/>
  </r>
  <r>
    <x v="43"/>
    <x v="1"/>
    <x v="27"/>
    <n v="93"/>
    <n v="184"/>
    <n v="103"/>
    <n v="61"/>
    <n v="3"/>
    <n v="4.6052"/>
    <n v="93"/>
    <n v="153"/>
  </r>
  <r>
    <x v="19"/>
    <x v="1"/>
    <x v="133"/>
    <n v="81"/>
    <n v="168"/>
    <n v="102.8"/>
    <n v="37"/>
    <n v="5"/>
    <n v="4.9488000000000003"/>
    <n v="94"/>
    <n v="346"/>
  </r>
  <r>
    <x v="18"/>
    <x v="0"/>
    <x v="120"/>
    <n v="102"/>
    <n v="184"/>
    <n v="100.4"/>
    <n v="64"/>
    <n v="3"/>
    <n v="4.585"/>
    <n v="79"/>
    <n v="63"/>
  </r>
  <r>
    <x v="55"/>
    <x v="0"/>
    <x v="53"/>
    <n v="82.33"/>
    <n v="194"/>
    <n v="149.19999999999999"/>
    <n v="31"/>
    <n v="6.26"/>
    <n v="4.2340999999999998"/>
    <n v="105"/>
    <n v="89"/>
  </r>
  <r>
    <x v="31"/>
    <x v="1"/>
    <x v="4"/>
    <n v="107"/>
    <n v="179"/>
    <n v="123.7"/>
    <n v="42.5"/>
    <n v="4.21"/>
    <n v="4.1589"/>
    <n v="93"/>
    <n v="50"/>
  </r>
  <r>
    <x v="8"/>
    <x v="1"/>
    <x v="36"/>
    <n v="78"/>
    <n v="195"/>
    <n v="95.4"/>
    <n v="91"/>
    <n v="2"/>
    <n v="3.7612000000000001"/>
    <n v="87"/>
    <n v="39"/>
  </r>
  <r>
    <x v="30"/>
    <x v="1"/>
    <x v="42"/>
    <n v="125"/>
    <n v="215"/>
    <n v="99"/>
    <n v="98"/>
    <n v="2"/>
    <n v="4.4997999999999996"/>
    <n v="95"/>
    <n v="103"/>
  </r>
  <r>
    <x v="42"/>
    <x v="0"/>
    <x v="134"/>
    <n v="123"/>
    <n v="201"/>
    <n v="126.6"/>
    <n v="44"/>
    <n v="5"/>
    <n v="5.0239000000000003"/>
    <n v="92"/>
    <n v="308"/>
  </r>
  <r>
    <x v="48"/>
    <x v="0"/>
    <x v="23"/>
    <n v="81"/>
    <n v="155"/>
    <n v="94.6"/>
    <n v="51"/>
    <n v="3"/>
    <n v="3.8500999999999999"/>
    <n v="87"/>
    <n v="116"/>
  </r>
  <r>
    <x v="28"/>
    <x v="0"/>
    <x v="61"/>
    <n v="85"/>
    <n v="156"/>
    <n v="109.2"/>
    <n v="36"/>
    <n v="4"/>
    <n v="3.9889999999999999"/>
    <n v="86"/>
    <n v="145"/>
  </r>
  <r>
    <x v="39"/>
    <x v="0"/>
    <x v="12"/>
    <n v="89.67"/>
    <n v="190"/>
    <n v="113.6"/>
    <n v="52"/>
    <n v="3.65"/>
    <n v="4.8040000000000003"/>
    <n v="101"/>
    <n v="74"/>
  </r>
  <r>
    <x v="14"/>
    <x v="0"/>
    <x v="85"/>
    <n v="98"/>
    <n v="183"/>
    <n v="92"/>
    <n v="83"/>
    <n v="2"/>
    <n v="3.6888999999999998"/>
    <n v="92"/>
    <n v="45"/>
  </r>
  <r>
    <x v="38"/>
    <x v="1"/>
    <x v="99"/>
    <n v="70"/>
    <n v="244"/>
    <n v="166.2"/>
    <n v="51"/>
    <n v="5"/>
    <n v="4.8978000000000002"/>
    <n v="98"/>
    <n v="115"/>
  </r>
  <r>
    <x v="7"/>
    <x v="0"/>
    <x v="69"/>
    <n v="115"/>
    <n v="204"/>
    <n v="139.4"/>
    <n v="36"/>
    <n v="6"/>
    <n v="4.9627999999999997"/>
    <n v="109"/>
    <n v="264"/>
  </r>
  <r>
    <x v="47"/>
    <x v="1"/>
    <x v="73"/>
    <n v="87"/>
    <n v="220"/>
    <n v="108.8"/>
    <n v="93"/>
    <n v="2"/>
    <n v="4.5109000000000004"/>
    <n v="82"/>
    <n v="87"/>
  </r>
  <r>
    <x v="4"/>
    <x v="0"/>
    <x v="103"/>
    <n v="119"/>
    <n v="162"/>
    <n v="85.2"/>
    <n v="54"/>
    <n v="3"/>
    <n v="4.7362000000000002"/>
    <n v="95"/>
    <n v="202"/>
  </r>
  <r>
    <x v="0"/>
    <x v="0"/>
    <x v="135"/>
    <n v="107"/>
    <n v="158"/>
    <n v="102"/>
    <n v="39"/>
    <n v="4"/>
    <n v="4.4427000000000003"/>
    <n v="93"/>
    <n v="127"/>
  </r>
  <r>
    <x v="31"/>
    <x v="1"/>
    <x v="121"/>
    <n v="78.33"/>
    <n v="134"/>
    <n v="73"/>
    <n v="44"/>
    <n v="3.05"/>
    <n v="4.4427000000000003"/>
    <n v="69"/>
    <n v="182"/>
  </r>
  <r>
    <x v="54"/>
    <x v="0"/>
    <x v="59"/>
    <n v="108"/>
    <n v="243"/>
    <n v="136.4"/>
    <n v="40"/>
    <n v="6"/>
    <n v="5.8080999999999996"/>
    <n v="100"/>
    <n v="241"/>
  </r>
  <r>
    <x v="12"/>
    <x v="1"/>
    <x v="53"/>
    <n v="105"/>
    <n v="184"/>
    <n v="113.4"/>
    <n v="46"/>
    <n v="4"/>
    <n v="4.8121999999999998"/>
    <n v="95"/>
    <n v="66"/>
  </r>
  <r>
    <x v="15"/>
    <x v="0"/>
    <x v="3"/>
    <n v="98"/>
    <n v="173"/>
    <n v="105.6"/>
    <n v="44"/>
    <n v="4"/>
    <n v="4.7622"/>
    <n v="108"/>
    <n v="94"/>
  </r>
  <r>
    <x v="31"/>
    <x v="1"/>
    <x v="122"/>
    <n v="113"/>
    <n v="280"/>
    <n v="174"/>
    <n v="67"/>
    <n v="4"/>
    <n v="5.2729999999999997"/>
    <n v="86"/>
    <n v="283"/>
  </r>
  <r>
    <x v="39"/>
    <x v="1"/>
    <x v="117"/>
    <n v="95"/>
    <n v="150"/>
    <n v="65.599999999999994"/>
    <n v="68"/>
    <n v="2"/>
    <n v="4.4066999999999998"/>
    <n v="95"/>
    <n v="64"/>
  </r>
  <r>
    <x v="26"/>
    <x v="0"/>
    <x v="4"/>
    <n v="70"/>
    <n v="184"/>
    <n v="128"/>
    <n v="35"/>
    <n v="5"/>
    <n v="4.6539999999999999"/>
    <n v="99"/>
    <n v="102"/>
  </r>
  <r>
    <x v="0"/>
    <x v="0"/>
    <x v="53"/>
    <n v="96"/>
    <n v="170"/>
    <n v="98.6"/>
    <n v="54"/>
    <n v="3"/>
    <n v="4.4659000000000004"/>
    <n v="85"/>
    <n v="200"/>
  </r>
  <r>
    <x v="47"/>
    <x v="0"/>
    <x v="136"/>
    <n v="106"/>
    <n v="202"/>
    <n v="122.2"/>
    <n v="55"/>
    <n v="4"/>
    <n v="4.8202999999999996"/>
    <n v="87"/>
    <n v="265"/>
  </r>
  <r>
    <x v="5"/>
    <x v="0"/>
    <x v="137"/>
    <n v="78"/>
    <n v="171"/>
    <n v="96"/>
    <n v="48"/>
    <n v="4"/>
    <n v="4.9053000000000004"/>
    <n v="92"/>
    <n v="94"/>
  </r>
  <r>
    <x v="16"/>
    <x v="1"/>
    <x v="70"/>
    <n v="93"/>
    <n v="253"/>
    <n v="181.2"/>
    <n v="53"/>
    <n v="5"/>
    <n v="4.5433000000000003"/>
    <n v="98"/>
    <n v="230"/>
  </r>
  <r>
    <x v="42"/>
    <x v="1"/>
    <x v="138"/>
    <n v="85"/>
    <n v="157"/>
    <n v="92.2"/>
    <n v="55"/>
    <n v="3"/>
    <n v="3.8917999999999999"/>
    <n v="84"/>
    <n v="181"/>
  </r>
  <r>
    <x v="8"/>
    <x v="0"/>
    <x v="18"/>
    <n v="103"/>
    <n v="141"/>
    <n v="86.6"/>
    <n v="33"/>
    <n v="4"/>
    <n v="4.6727999999999996"/>
    <n v="78"/>
    <n v="156"/>
  </r>
  <r>
    <x v="31"/>
    <x v="1"/>
    <x v="59"/>
    <n v="90"/>
    <n v="198"/>
    <n v="129"/>
    <n v="29"/>
    <n v="7"/>
    <n v="5.2983000000000002"/>
    <n v="86"/>
    <n v="233"/>
  </r>
  <r>
    <x v="17"/>
    <x v="1"/>
    <x v="115"/>
    <n v="72"/>
    <n v="165"/>
    <n v="60.2"/>
    <n v="88"/>
    <n v="2"/>
    <n v="4.4307999999999996"/>
    <n v="90"/>
    <n v="60"/>
  </r>
  <r>
    <x v="13"/>
    <x v="1"/>
    <x v="26"/>
    <n v="90"/>
    <n v="280"/>
    <n v="195.4"/>
    <n v="55"/>
    <n v="5"/>
    <n v="4.9972000000000003"/>
    <n v="90"/>
    <n v="219"/>
  </r>
  <r>
    <x v="16"/>
    <x v="0"/>
    <x v="68"/>
    <n v="101"/>
    <n v="221"/>
    <n v="151.4"/>
    <n v="60"/>
    <n v="4"/>
    <n v="3.8712"/>
    <n v="87"/>
    <n v="80"/>
  </r>
  <r>
    <x v="48"/>
    <x v="0"/>
    <x v="139"/>
    <n v="83"/>
    <n v="228"/>
    <n v="149.4"/>
    <n v="38"/>
    <n v="6"/>
    <n v="5.3132000000000001"/>
    <n v="83"/>
    <n v="68"/>
  </r>
  <r>
    <x v="38"/>
    <x v="0"/>
    <x v="140"/>
    <n v="102"/>
    <n v="190"/>
    <n v="126.2"/>
    <n v="35"/>
    <n v="5"/>
    <n v="4.9698000000000002"/>
    <n v="102"/>
    <n v="332"/>
  </r>
  <r>
    <x v="54"/>
    <x v="1"/>
    <x v="136"/>
    <n v="113"/>
    <n v="234"/>
    <n v="142.80000000000001"/>
    <n v="52"/>
    <n v="4"/>
    <n v="5.2781000000000002"/>
    <n v="77"/>
    <n v="248"/>
  </r>
  <r>
    <x v="47"/>
    <x v="1"/>
    <x v="18"/>
    <n v="85.33"/>
    <n v="153"/>
    <n v="71.599999999999994"/>
    <n v="71"/>
    <n v="2.15"/>
    <n v="3.9512"/>
    <n v="82"/>
    <n v="84"/>
  </r>
  <r>
    <x v="9"/>
    <x v="1"/>
    <x v="96"/>
    <n v="98.33"/>
    <n v="204"/>
    <n v="142.6"/>
    <n v="50"/>
    <n v="4.08"/>
    <n v="4.0430999999999999"/>
    <n v="91"/>
    <n v="200"/>
  </r>
  <r>
    <x v="46"/>
    <x v="0"/>
    <x v="31"/>
    <n v="93"/>
    <n v="177"/>
    <n v="126.8"/>
    <n v="41"/>
    <n v="4"/>
    <n v="3.8285999999999998"/>
    <n v="83"/>
    <n v="55"/>
  </r>
  <r>
    <x v="14"/>
    <x v="0"/>
    <x v="8"/>
    <n v="83"/>
    <n v="185"/>
    <n v="107.2"/>
    <n v="53"/>
    <n v="3"/>
    <n v="4.8202999999999996"/>
    <n v="92"/>
    <n v="85"/>
  </r>
  <r>
    <x v="26"/>
    <x v="1"/>
    <x v="84"/>
    <n v="83"/>
    <n v="170"/>
    <n v="99.8"/>
    <n v="59"/>
    <n v="3"/>
    <n v="4.0254000000000003"/>
    <n v="77"/>
    <n v="89"/>
  </r>
  <r>
    <x v="43"/>
    <x v="1"/>
    <x v="36"/>
    <n v="76"/>
    <n v="161"/>
    <n v="99.8"/>
    <n v="51"/>
    <n v="3"/>
    <n v="3.9318"/>
    <n v="78"/>
    <n v="31"/>
  </r>
  <r>
    <x v="46"/>
    <x v="0"/>
    <x v="52"/>
    <n v="81"/>
    <n v="123"/>
    <n v="67.2"/>
    <n v="41"/>
    <n v="3"/>
    <n v="4.3041"/>
    <n v="88"/>
    <n v="129"/>
  </r>
  <r>
    <x v="0"/>
    <x v="0"/>
    <x v="141"/>
    <n v="90"/>
    <n v="163"/>
    <n v="101.4"/>
    <n v="46"/>
    <n v="4"/>
    <n v="4.3567"/>
    <n v="91"/>
    <n v="83"/>
  </r>
  <r>
    <x v="12"/>
    <x v="1"/>
    <x v="142"/>
    <n v="82.67"/>
    <n v="186"/>
    <n v="106.8"/>
    <n v="46"/>
    <n v="4.04"/>
    <n v="5.1120000000000001"/>
    <n v="102"/>
    <n v="275"/>
  </r>
  <r>
    <x v="1"/>
    <x v="0"/>
    <x v="53"/>
    <n v="110"/>
    <n v="209"/>
    <n v="134.6"/>
    <n v="58"/>
    <n v="4"/>
    <n v="4.4066999999999998"/>
    <n v="100"/>
    <n v="65"/>
  </r>
  <r>
    <x v="31"/>
    <x v="1"/>
    <x v="58"/>
    <n v="104.33"/>
    <n v="211"/>
    <n v="132.80000000000001"/>
    <n v="49"/>
    <n v="4.3099999999999996"/>
    <n v="4.9836"/>
    <n v="98"/>
    <n v="198"/>
  </r>
  <r>
    <x v="54"/>
    <x v="1"/>
    <x v="82"/>
    <n v="122"/>
    <n v="231"/>
    <n v="128.4"/>
    <n v="56"/>
    <n v="4"/>
    <n v="5.4509999999999996"/>
    <n v="86"/>
    <n v="236"/>
  </r>
  <r>
    <x v="8"/>
    <x v="0"/>
    <x v="111"/>
    <n v="110"/>
    <n v="245"/>
    <n v="189.8"/>
    <n v="39"/>
    <n v="6"/>
    <n v="4.3944000000000001"/>
    <n v="88"/>
    <n v="253"/>
  </r>
  <r>
    <x v="32"/>
    <x v="0"/>
    <x v="64"/>
    <n v="83"/>
    <n v="183"/>
    <n v="125.8"/>
    <n v="32"/>
    <n v="6"/>
    <n v="4.8362999999999996"/>
    <n v="75"/>
    <n v="124"/>
  </r>
  <r>
    <x v="47"/>
    <x v="0"/>
    <x v="7"/>
    <n v="101"/>
    <n v="161"/>
    <n v="99.6"/>
    <n v="48"/>
    <n v="3"/>
    <n v="4.2046999999999999"/>
    <n v="88"/>
    <n v="44"/>
  </r>
  <r>
    <x v="26"/>
    <x v="0"/>
    <x v="31"/>
    <n v="96"/>
    <n v="207"/>
    <n v="138.19999999999999"/>
    <n v="42"/>
    <n v="5"/>
    <n v="4.8978000000000002"/>
    <n v="111"/>
    <n v="172"/>
  </r>
  <r>
    <x v="43"/>
    <x v="1"/>
    <x v="56"/>
    <n v="85"/>
    <n v="136"/>
    <n v="63.4"/>
    <n v="62"/>
    <n v="2.19"/>
    <n v="3.9702999999999999"/>
    <n v="72"/>
    <n v="114"/>
  </r>
  <r>
    <x v="32"/>
    <x v="0"/>
    <x v="79"/>
    <n v="94"/>
    <n v="247"/>
    <n v="160.19999999999999"/>
    <n v="59"/>
    <n v="4"/>
    <n v="4.9344999999999999"/>
    <n v="111"/>
    <n v="142"/>
  </r>
  <r>
    <x v="15"/>
    <x v="1"/>
    <x v="72"/>
    <n v="105"/>
    <n v="188"/>
    <n v="125"/>
    <n v="46"/>
    <n v="4.09"/>
    <n v="4.4427000000000003"/>
    <n v="99"/>
    <n v="109"/>
  </r>
  <r>
    <x v="56"/>
    <x v="1"/>
    <x v="123"/>
    <n v="78"/>
    <n v="222"/>
    <n v="154.19999999999999"/>
    <n v="44"/>
    <n v="5.05"/>
    <n v="4.7790999999999997"/>
    <n v="97"/>
    <n v="180"/>
  </r>
  <r>
    <x v="48"/>
    <x v="1"/>
    <x v="38"/>
    <n v="93"/>
    <n v="174"/>
    <n v="106.4"/>
    <n v="54"/>
    <n v="3"/>
    <n v="4.2195"/>
    <n v="84"/>
    <n v="144"/>
  </r>
  <r>
    <x v="38"/>
    <x v="0"/>
    <x v="143"/>
    <n v="110"/>
    <n v="213"/>
    <n v="128"/>
    <n v="47"/>
    <n v="5"/>
    <n v="5.2469999999999999"/>
    <n v="91"/>
    <n v="163"/>
  </r>
  <r>
    <x v="24"/>
    <x v="1"/>
    <x v="123"/>
    <n v="91"/>
    <n v="182"/>
    <n v="114.8"/>
    <n v="49"/>
    <n v="4"/>
    <n v="4.5109000000000004"/>
    <n v="82"/>
    <n v="147"/>
  </r>
  <r>
    <x v="47"/>
    <x v="1"/>
    <x v="59"/>
    <n v="79"/>
    <n v="212"/>
    <n v="128.6"/>
    <n v="65"/>
    <n v="3"/>
    <n v="4.5217999999999998"/>
    <n v="91"/>
    <n v="97"/>
  </r>
  <r>
    <x v="12"/>
    <x v="0"/>
    <x v="35"/>
    <n v="95"/>
    <n v="190"/>
    <n v="101.8"/>
    <n v="41"/>
    <n v="5"/>
    <n v="5.4638"/>
    <n v="101"/>
    <n v="220"/>
  </r>
  <r>
    <x v="34"/>
    <x v="1"/>
    <x v="144"/>
    <n v="110.67"/>
    <n v="238"/>
    <n v="162.80000000000001"/>
    <n v="48"/>
    <n v="4.96"/>
    <n v="4.9127000000000001"/>
    <n v="108"/>
    <n v="190"/>
  </r>
  <r>
    <x v="57"/>
    <x v="1"/>
    <x v="121"/>
    <n v="102"/>
    <n v="211"/>
    <n v="121"/>
    <n v="67"/>
    <n v="3"/>
    <n v="4.7449000000000003"/>
    <n v="99"/>
    <n v="109"/>
  </r>
  <r>
    <x v="34"/>
    <x v="1"/>
    <x v="51"/>
    <n v="108"/>
    <n v="176"/>
    <n v="80.599999999999994"/>
    <n v="67"/>
    <n v="3"/>
    <n v="4.9558"/>
    <n v="106"/>
    <n v="191"/>
  </r>
  <r>
    <x v="24"/>
    <x v="1"/>
    <x v="103"/>
    <n v="93"/>
    <n v="249"/>
    <n v="174.2"/>
    <n v="45"/>
    <n v="6"/>
    <n v="5.0038999999999998"/>
    <n v="92"/>
    <n v="122"/>
  </r>
  <r>
    <x v="56"/>
    <x v="1"/>
    <x v="67"/>
    <n v="117.67"/>
    <n v="229"/>
    <n v="138.80000000000001"/>
    <n v="29"/>
    <n v="7.9"/>
    <n v="5.7236000000000002"/>
    <n v="106"/>
    <n v="230"/>
  </r>
  <r>
    <x v="46"/>
    <x v="0"/>
    <x v="0"/>
    <n v="112.67"/>
    <n v="207"/>
    <n v="92.4"/>
    <n v="25"/>
    <n v="8.2799999999999994"/>
    <n v="6.1048"/>
    <n v="111"/>
    <n v="242"/>
  </r>
  <r>
    <x v="16"/>
    <x v="0"/>
    <x v="43"/>
    <n v="109"/>
    <n v="233"/>
    <n v="112.6"/>
    <n v="35"/>
    <n v="7"/>
    <n v="6.0568"/>
    <n v="105"/>
    <n v="248"/>
  </r>
  <r>
    <x v="29"/>
    <x v="1"/>
    <x v="93"/>
    <n v="98"/>
    <n v="246"/>
    <n v="165.2"/>
    <n v="38"/>
    <n v="7"/>
    <n v="5.3659999999999997"/>
    <n v="96"/>
    <n v="249"/>
  </r>
  <r>
    <x v="1"/>
    <x v="1"/>
    <x v="119"/>
    <n v="75.33"/>
    <n v="242"/>
    <n v="151.6"/>
    <n v="38"/>
    <n v="6.37"/>
    <n v="5.5682999999999998"/>
    <n v="103"/>
    <n v="192"/>
  </r>
  <r>
    <x v="13"/>
    <x v="0"/>
    <x v="36"/>
    <n v="85"/>
    <n v="184"/>
    <n v="116.2"/>
    <n v="39"/>
    <n v="5"/>
    <n v="4.9698000000000002"/>
    <n v="98"/>
    <n v="131"/>
  </r>
  <r>
    <x v="54"/>
    <x v="1"/>
    <x v="145"/>
    <n v="103"/>
    <n v="207"/>
    <n v="131.4"/>
    <n v="55"/>
    <n v="4"/>
    <n v="4.6346999999999996"/>
    <n v="90"/>
    <n v="237"/>
  </r>
  <r>
    <x v="17"/>
    <x v="1"/>
    <x v="146"/>
    <n v="77"/>
    <n v="168"/>
    <n v="100.6"/>
    <n v="47"/>
    <n v="4"/>
    <n v="4.625"/>
    <n v="96"/>
    <n v="78"/>
  </r>
  <r>
    <x v="49"/>
    <x v="0"/>
    <x v="120"/>
    <n v="94"/>
    <n v="169"/>
    <n v="96.8"/>
    <n v="55"/>
    <n v="3"/>
    <n v="4.4542999999999999"/>
    <n v="102"/>
    <n v="135"/>
  </r>
  <r>
    <x v="47"/>
    <x v="0"/>
    <x v="103"/>
    <n v="107"/>
    <n v="187"/>
    <n v="139"/>
    <n v="32"/>
    <n v="6"/>
    <n v="4.3819999999999997"/>
    <n v="95"/>
    <n v="244"/>
  </r>
  <r>
    <x v="51"/>
    <x v="0"/>
    <x v="12"/>
    <n v="84"/>
    <n v="138"/>
    <n v="85.8"/>
    <n v="39"/>
    <n v="4"/>
    <n v="4.1897000000000002"/>
    <n v="90"/>
    <n v="199"/>
  </r>
  <r>
    <x v="29"/>
    <x v="1"/>
    <x v="147"/>
    <n v="117"/>
    <n v="181"/>
    <n v="108.2"/>
    <n v="34"/>
    <n v="5"/>
    <n v="5.2679"/>
    <n v="100"/>
    <n v="270"/>
  </r>
  <r>
    <x v="11"/>
    <x v="0"/>
    <x v="26"/>
    <n v="103"/>
    <n v="177"/>
    <n v="114.4"/>
    <n v="34"/>
    <n v="5"/>
    <n v="4.9627999999999997"/>
    <n v="99"/>
    <n v="164"/>
  </r>
  <r>
    <x v="27"/>
    <x v="0"/>
    <x v="6"/>
    <n v="88"/>
    <n v="137"/>
    <n v="78.599999999999994"/>
    <n v="48"/>
    <n v="3"/>
    <n v="3.9512"/>
    <n v="78"/>
    <n v="72"/>
  </r>
  <r>
    <x v="4"/>
    <x v="1"/>
    <x v="66"/>
    <n v="91"/>
    <n v="190"/>
    <n v="111.2"/>
    <n v="67"/>
    <n v="3"/>
    <n v="4.0774999999999997"/>
    <n v="77"/>
    <n v="96"/>
  </r>
  <r>
    <x v="44"/>
    <x v="1"/>
    <x v="148"/>
    <n v="84"/>
    <n v="256"/>
    <n v="172.6"/>
    <n v="33"/>
    <n v="8"/>
    <n v="5.5293999999999999"/>
    <n v="104"/>
    <n v="306"/>
  </r>
  <r>
    <x v="34"/>
    <x v="0"/>
    <x v="22"/>
    <n v="115"/>
    <n v="181"/>
    <n v="120"/>
    <n v="39"/>
    <n v="5"/>
    <n v="4.7004999999999999"/>
    <n v="92"/>
    <n v="91"/>
  </r>
  <r>
    <x v="21"/>
    <x v="1"/>
    <x v="101"/>
    <n v="85"/>
    <n v="190"/>
    <n v="130.80000000000001"/>
    <n v="43"/>
    <n v="4"/>
    <n v="4.3944000000000001"/>
    <n v="77"/>
    <n v="214"/>
  </r>
  <r>
    <x v="11"/>
    <x v="1"/>
    <x v="43"/>
    <n v="80"/>
    <n v="244"/>
    <n v="151.6"/>
    <n v="59"/>
    <n v="4"/>
    <n v="5.1180000000000003"/>
    <n v="95"/>
    <n v="95"/>
  </r>
  <r>
    <x v="42"/>
    <x v="1"/>
    <x v="141"/>
    <n v="133"/>
    <n v="182"/>
    <n v="113"/>
    <n v="55"/>
    <n v="3"/>
    <n v="4.2484999999999999"/>
    <n v="84"/>
    <n v="216"/>
  </r>
  <r>
    <x v="29"/>
    <x v="0"/>
    <x v="24"/>
    <n v="111"/>
    <n v="173"/>
    <n v="116.2"/>
    <n v="41"/>
    <n v="4"/>
    <n v="4.3693999999999997"/>
    <n v="87"/>
    <n v="263"/>
  </r>
  <r>
    <x v="45"/>
    <x v="0"/>
    <x v="149"/>
    <n v="111"/>
    <n v="184"/>
    <n v="127"/>
    <n v="41"/>
    <n v="4"/>
    <n v="4.3819999999999997"/>
    <n v="97"/>
    <n v="178"/>
  </r>
  <r>
    <x v="44"/>
    <x v="1"/>
    <x v="136"/>
    <n v="121"/>
    <n v="192"/>
    <n v="121"/>
    <n v="60"/>
    <n v="3"/>
    <n v="4.0072999999999999"/>
    <n v="93"/>
    <n v="113"/>
  </r>
  <r>
    <x v="23"/>
    <x v="1"/>
    <x v="3"/>
    <n v="83"/>
    <n v="225"/>
    <n v="156.6"/>
    <n v="46"/>
    <n v="5"/>
    <n v="4.7184999999999997"/>
    <n v="84"/>
    <n v="200"/>
  </r>
  <r>
    <x v="51"/>
    <x v="0"/>
    <x v="116"/>
    <n v="85"/>
    <n v="220"/>
    <n v="152.4"/>
    <n v="47"/>
    <n v="5"/>
    <n v="4.6346999999999996"/>
    <n v="91"/>
    <n v="139"/>
  </r>
  <r>
    <x v="4"/>
    <x v="0"/>
    <x v="10"/>
    <n v="104"/>
    <n v="282"/>
    <n v="196.8"/>
    <n v="44"/>
    <n v="6"/>
    <n v="5.3278999999999996"/>
    <n v="95"/>
    <n v="139"/>
  </r>
  <r>
    <x v="0"/>
    <x v="0"/>
    <x v="55"/>
    <n v="73"/>
    <n v="180"/>
    <n v="107.4"/>
    <n v="51"/>
    <n v="4"/>
    <n v="4.6821000000000002"/>
    <n v="84"/>
    <n v="88"/>
  </r>
  <r>
    <x v="29"/>
    <x v="1"/>
    <x v="59"/>
    <n v="93"/>
    <n v="186"/>
    <n v="96.6"/>
    <n v="71"/>
    <n v="3"/>
    <n v="4.5217999999999998"/>
    <n v="91"/>
    <n v="148"/>
  </r>
  <r>
    <x v="43"/>
    <x v="0"/>
    <x v="62"/>
    <n v="82"/>
    <n v="119"/>
    <n v="85.4"/>
    <n v="23"/>
    <n v="5"/>
    <n v="3.9702999999999999"/>
    <n v="74"/>
    <n v="88"/>
  </r>
  <r>
    <x v="18"/>
    <x v="0"/>
    <x v="20"/>
    <n v="126"/>
    <n v="198"/>
    <n v="104.2"/>
    <n v="49"/>
    <n v="4"/>
    <n v="5.4116"/>
    <n v="124"/>
    <n v="243"/>
  </r>
  <r>
    <x v="20"/>
    <x v="0"/>
    <x v="5"/>
    <n v="85"/>
    <n v="130"/>
    <n v="71"/>
    <n v="48"/>
    <n v="3"/>
    <n v="4.0072999999999999"/>
    <n v="81"/>
    <n v="71"/>
  </r>
  <r>
    <x v="31"/>
    <x v="0"/>
    <x v="150"/>
    <n v="81"/>
    <n v="152"/>
    <n v="53.4"/>
    <n v="82"/>
    <n v="2"/>
    <n v="4.4188000000000001"/>
    <n v="82"/>
    <n v="77"/>
  </r>
  <r>
    <x v="14"/>
    <x v="1"/>
    <x v="120"/>
    <n v="84"/>
    <n v="254"/>
    <n v="113.4"/>
    <n v="52"/>
    <n v="5"/>
    <n v="6.0936000000000003"/>
    <n v="92"/>
    <n v="109"/>
  </r>
  <r>
    <x v="24"/>
    <x v="0"/>
    <x v="76"/>
    <n v="101"/>
    <n v="269"/>
    <n v="172.2"/>
    <n v="50"/>
    <n v="5"/>
    <n v="5.4553000000000003"/>
    <n v="106"/>
    <n v="272"/>
  </r>
  <r>
    <x v="48"/>
    <x v="0"/>
    <x v="45"/>
    <n v="99"/>
    <n v="162"/>
    <n v="101.6"/>
    <n v="46"/>
    <n v="4"/>
    <n v="4.2766999999999999"/>
    <n v="94"/>
    <n v="60"/>
  </r>
  <r>
    <x v="15"/>
    <x v="0"/>
    <x v="101"/>
    <n v="90"/>
    <n v="195"/>
    <n v="125.8"/>
    <n v="54"/>
    <n v="4"/>
    <n v="4.3307000000000002"/>
    <n v="73"/>
    <n v="54"/>
  </r>
  <r>
    <x v="27"/>
    <x v="0"/>
    <x v="75"/>
    <n v="100"/>
    <n v="177"/>
    <n v="96.2"/>
    <n v="45"/>
    <n v="4"/>
    <n v="5.1874000000000002"/>
    <n v="77"/>
    <n v="221"/>
  </r>
  <r>
    <x v="44"/>
    <x v="1"/>
    <x v="151"/>
    <n v="87"/>
    <n v="163"/>
    <n v="93.6"/>
    <n v="61"/>
    <n v="2.67"/>
    <n v="3.7376999999999998"/>
    <n v="80"/>
    <n v="90"/>
  </r>
  <r>
    <x v="0"/>
    <x v="0"/>
    <x v="93"/>
    <n v="104"/>
    <n v="194"/>
    <n v="126.6"/>
    <n v="43"/>
    <n v="5"/>
    <n v="4.8040000000000003"/>
    <n v="106"/>
    <n v="311"/>
  </r>
  <r>
    <x v="12"/>
    <x v="1"/>
    <x v="77"/>
    <n v="101"/>
    <n v="179"/>
    <n v="107"/>
    <n v="48"/>
    <n v="4"/>
    <n v="4.7874999999999996"/>
    <n v="101"/>
    <n v="281"/>
  </r>
  <r>
    <x v="8"/>
    <x v="1"/>
    <x v="43"/>
    <n v="103"/>
    <n v="158"/>
    <n v="84.6"/>
    <n v="64"/>
    <n v="2"/>
    <n v="3.8500999999999999"/>
    <n v="97"/>
    <n v="182"/>
  </r>
  <r>
    <x v="34"/>
    <x v="0"/>
    <x v="147"/>
    <n v="115"/>
    <n v="163"/>
    <n v="98.4"/>
    <n v="43"/>
    <n v="4"/>
    <n v="4.6821000000000002"/>
    <n v="101"/>
    <n v="321"/>
  </r>
  <r>
    <x v="19"/>
    <x v="0"/>
    <x v="53"/>
    <n v="94.67"/>
    <n v="155"/>
    <n v="97.4"/>
    <n v="32"/>
    <n v="4.84"/>
    <n v="4.8520000000000003"/>
    <n v="94"/>
    <n v="58"/>
  </r>
  <r>
    <x v="43"/>
    <x v="0"/>
    <x v="26"/>
    <n v="89"/>
    <n v="182"/>
    <n v="118.6"/>
    <n v="39"/>
    <n v="5"/>
    <n v="4.8040000000000003"/>
    <n v="115"/>
    <n v="262"/>
  </r>
  <r>
    <x v="28"/>
    <x v="1"/>
    <x v="111"/>
    <n v="91"/>
    <n v="196"/>
    <n v="118.8"/>
    <n v="48"/>
    <n v="4"/>
    <n v="4.9836"/>
    <n v="115"/>
    <n v="206"/>
  </r>
  <r>
    <x v="6"/>
    <x v="0"/>
    <x v="152"/>
    <n v="90"/>
    <n v="219"/>
    <n v="135.80000000000001"/>
    <n v="38"/>
    <n v="6"/>
    <n v="5.4204999999999997"/>
    <n v="103"/>
    <n v="233"/>
  </r>
  <r>
    <x v="32"/>
    <x v="0"/>
    <x v="153"/>
    <n v="99"/>
    <n v="211"/>
    <n v="137"/>
    <n v="44"/>
    <n v="5"/>
    <n v="5.0106000000000002"/>
    <n v="99"/>
    <n v="242"/>
  </r>
  <r>
    <x v="42"/>
    <x v="0"/>
    <x v="60"/>
    <n v="99"/>
    <n v="205"/>
    <n v="109"/>
    <n v="43"/>
    <n v="5"/>
    <n v="5.5796999999999999"/>
    <n v="111"/>
    <n v="123"/>
  </r>
  <r>
    <x v="32"/>
    <x v="1"/>
    <x v="154"/>
    <n v="83"/>
    <n v="171"/>
    <n v="113"/>
    <n v="38"/>
    <n v="4.5"/>
    <n v="4.585"/>
    <n v="98"/>
    <n v="167"/>
  </r>
  <r>
    <x v="34"/>
    <x v="1"/>
    <x v="62"/>
    <n v="78"/>
    <n v="188"/>
    <n v="107.4"/>
    <n v="70"/>
    <n v="3"/>
    <n v="3.9702999999999999"/>
    <n v="73"/>
    <n v="63"/>
  </r>
  <r>
    <x v="25"/>
    <x v="0"/>
    <x v="45"/>
    <n v="109"/>
    <n v="226"/>
    <n v="103.2"/>
    <n v="46"/>
    <n v="5"/>
    <n v="5.9505999999999997"/>
    <n v="87"/>
    <n v="197"/>
  </r>
  <r>
    <x v="18"/>
    <x v="0"/>
    <x v="38"/>
    <n v="90"/>
    <n v="199"/>
    <n v="123.6"/>
    <n v="57"/>
    <n v="4"/>
    <n v="4.5217999999999998"/>
    <n v="86"/>
    <n v="71"/>
  </r>
  <r>
    <x v="48"/>
    <x v="1"/>
    <x v="16"/>
    <n v="93"/>
    <n v="141"/>
    <n v="79"/>
    <n v="49"/>
    <n v="3"/>
    <n v="4.1744000000000003"/>
    <n v="91"/>
    <n v="168"/>
  </r>
  <r>
    <x v="23"/>
    <x v="1"/>
    <x v="144"/>
    <n v="75"/>
    <n v="143"/>
    <n v="70.400000000000006"/>
    <n v="52"/>
    <n v="3"/>
    <n v="4.6346999999999996"/>
    <n v="72"/>
    <n v="140"/>
  </r>
  <r>
    <x v="13"/>
    <x v="0"/>
    <x v="116"/>
    <n v="126"/>
    <n v="215"/>
    <n v="129.80000000000001"/>
    <n v="57"/>
    <n v="4"/>
    <n v="4.9488000000000003"/>
    <n v="96"/>
    <n v="217"/>
  </r>
  <r>
    <x v="1"/>
    <x v="1"/>
    <x v="39"/>
    <n v="93"/>
    <n v="276"/>
    <n v="198.6"/>
    <n v="43"/>
    <n v="6.42"/>
    <n v="5.1475"/>
    <n v="91"/>
    <n v="121"/>
  </r>
  <r>
    <x v="34"/>
    <x v="0"/>
    <x v="63"/>
    <n v="100"/>
    <n v="200"/>
    <n v="144"/>
    <n v="33"/>
    <n v="6"/>
    <n v="4.7449000000000003"/>
    <n v="76"/>
    <n v="235"/>
  </r>
  <r>
    <x v="12"/>
    <x v="0"/>
    <x v="60"/>
    <n v="93"/>
    <n v="185"/>
    <n v="122.4"/>
    <n v="36"/>
    <n v="5"/>
    <n v="4.8902999999999999"/>
    <n v="82"/>
    <n v="245"/>
  </r>
  <r>
    <x v="1"/>
    <x v="1"/>
    <x v="111"/>
    <n v="101"/>
    <n v="110"/>
    <n v="41.6"/>
    <n v="56"/>
    <n v="2"/>
    <n v="4.1271000000000004"/>
    <n v="97"/>
    <n v="40"/>
  </r>
  <r>
    <x v="12"/>
    <x v="1"/>
    <x v="122"/>
    <n v="111.67"/>
    <n v="145"/>
    <n v="87.2"/>
    <n v="46"/>
    <n v="3.15"/>
    <n v="4.0774999999999997"/>
    <n v="85"/>
    <n v="52"/>
  </r>
  <r>
    <x v="9"/>
    <x v="0"/>
    <x v="155"/>
    <n v="73"/>
    <n v="158"/>
    <n v="99"/>
    <n v="41"/>
    <n v="4"/>
    <n v="4.4997999999999996"/>
    <n v="78"/>
    <n v="104"/>
  </r>
  <r>
    <x v="30"/>
    <x v="1"/>
    <x v="20"/>
    <n v="88"/>
    <n v="172"/>
    <n v="69"/>
    <n v="38"/>
    <n v="4"/>
    <n v="5.7838000000000003"/>
    <n v="100"/>
    <n v="132"/>
  </r>
  <r>
    <x v="4"/>
    <x v="0"/>
    <x v="11"/>
    <n v="92"/>
    <n v="166"/>
    <n v="97"/>
    <n v="52"/>
    <n v="3"/>
    <n v="4.4427000000000003"/>
    <n v="93"/>
    <n v="88"/>
  </r>
  <r>
    <x v="28"/>
    <x v="0"/>
    <x v="55"/>
    <n v="96"/>
    <n v="257"/>
    <n v="171"/>
    <n v="59"/>
    <n v="4"/>
    <n v="4.9053000000000004"/>
    <n v="82"/>
    <n v="69"/>
  </r>
  <r>
    <x v="46"/>
    <x v="0"/>
    <x v="105"/>
    <n v="109"/>
    <n v="143"/>
    <n v="76.400000000000006"/>
    <n v="51"/>
    <n v="3"/>
    <n v="4.3567"/>
    <n v="88"/>
    <n v="219"/>
  </r>
  <r>
    <x v="34"/>
    <x v="1"/>
    <x v="5"/>
    <n v="90"/>
    <n v="183"/>
    <n v="104.2"/>
    <n v="64"/>
    <n v="3"/>
    <n v="4.3041"/>
    <n v="92"/>
    <n v="72"/>
  </r>
  <r>
    <x v="6"/>
    <x v="1"/>
    <x v="97"/>
    <n v="73"/>
    <n v="153"/>
    <n v="104.4"/>
    <n v="42"/>
    <n v="4"/>
    <n v="3.4965000000000002"/>
    <n v="73"/>
    <n v="201"/>
  </r>
  <r>
    <x v="25"/>
    <x v="0"/>
    <x v="53"/>
    <n v="111"/>
    <n v="184"/>
    <n v="112.2"/>
    <n v="44"/>
    <n v="4"/>
    <n v="4.9344999999999999"/>
    <n v="82"/>
    <n v="110"/>
  </r>
  <r>
    <x v="15"/>
    <x v="0"/>
    <x v="79"/>
    <n v="70"/>
    <n v="181"/>
    <n v="104.8"/>
    <n v="63"/>
    <n v="3"/>
    <n v="4.1897000000000002"/>
    <n v="70"/>
    <n v="51"/>
  </r>
  <r>
    <x v="47"/>
    <x v="0"/>
    <x v="108"/>
    <n v="112"/>
    <n v="202"/>
    <n v="100.6"/>
    <n v="37"/>
    <n v="5"/>
    <n v="5.7746000000000004"/>
    <n v="109"/>
    <n v="277"/>
  </r>
  <r>
    <x v="24"/>
    <x v="1"/>
    <x v="57"/>
    <n v="76"/>
    <n v="146"/>
    <n v="83.2"/>
    <n v="55"/>
    <n v="3"/>
    <n v="3.6636000000000002"/>
    <n v="79"/>
    <n v="63"/>
  </r>
  <r>
    <x v="37"/>
    <x v="0"/>
    <x v="55"/>
    <n v="94"/>
    <n v="205"/>
    <n v="138.80000000000001"/>
    <n v="53"/>
    <n v="4"/>
    <n v="4.1897000000000002"/>
    <n v="107"/>
    <n v="118"/>
  </r>
  <r>
    <x v="48"/>
    <x v="1"/>
    <x v="56"/>
    <n v="82"/>
    <n v="168"/>
    <n v="100.6"/>
    <n v="54"/>
    <n v="3"/>
    <n v="4.2046999999999999"/>
    <n v="86"/>
    <n v="69"/>
  </r>
  <r>
    <x v="28"/>
    <x v="1"/>
    <x v="136"/>
    <n v="111"/>
    <n v="198"/>
    <n v="80.599999999999994"/>
    <n v="31"/>
    <n v="6"/>
    <n v="6.0683999999999996"/>
    <n v="93"/>
    <n v="273"/>
  </r>
  <r>
    <x v="27"/>
    <x v="1"/>
    <x v="79"/>
    <n v="86"/>
    <n v="184"/>
    <n v="101.6"/>
    <n v="53"/>
    <n v="4"/>
    <n v="4.9904000000000002"/>
    <n v="78"/>
    <n v="258"/>
  </r>
  <r>
    <x v="20"/>
    <x v="0"/>
    <x v="31"/>
    <n v="88"/>
    <n v="143"/>
    <n v="80.8"/>
    <n v="55"/>
    <n v="3"/>
    <n v="3.5834999999999999"/>
    <n v="83"/>
    <n v="43"/>
  </r>
  <r>
    <x v="25"/>
    <x v="1"/>
    <x v="19"/>
    <n v="85.67"/>
    <n v="155"/>
    <n v="78.2"/>
    <n v="46"/>
    <n v="3.37"/>
    <n v="5.0369999999999999"/>
    <n v="97"/>
    <n v="198"/>
  </r>
  <r>
    <x v="31"/>
    <x v="1"/>
    <x v="97"/>
    <n v="85"/>
    <n v="219"/>
    <n v="136"/>
    <n v="49"/>
    <n v="4"/>
    <n v="5.1357999999999997"/>
    <n v="75"/>
    <n v="242"/>
  </r>
  <r>
    <x v="38"/>
    <x v="0"/>
    <x v="32"/>
    <n v="109"/>
    <n v="201"/>
    <n v="123"/>
    <n v="46"/>
    <n v="4"/>
    <n v="5.0751999999999997"/>
    <n v="96"/>
    <n v="232"/>
  </r>
  <r>
    <x v="24"/>
    <x v="1"/>
    <x v="76"/>
    <n v="121"/>
    <n v="176"/>
    <n v="92.8"/>
    <n v="69"/>
    <n v="3"/>
    <n v="4.2626999999999997"/>
    <n v="89"/>
    <n v="175"/>
  </r>
  <r>
    <x v="12"/>
    <x v="1"/>
    <x v="71"/>
    <n v="78"/>
    <n v="164"/>
    <n v="81"/>
    <n v="70"/>
    <n v="2"/>
    <n v="4.1744000000000003"/>
    <n v="101"/>
    <n v="93"/>
  </r>
  <r>
    <x v="52"/>
    <x v="0"/>
    <x v="101"/>
    <n v="88"/>
    <n v="186"/>
    <n v="128.4"/>
    <n v="33"/>
    <n v="6"/>
    <n v="4.8121999999999998"/>
    <n v="102"/>
    <n v="168"/>
  </r>
  <r>
    <x v="44"/>
    <x v="1"/>
    <x v="156"/>
    <n v="93"/>
    <n v="185"/>
    <n v="100.2"/>
    <n v="44"/>
    <n v="4"/>
    <n v="5.3181000000000003"/>
    <n v="101"/>
    <n v="275"/>
  </r>
  <r>
    <x v="42"/>
    <x v="1"/>
    <x v="119"/>
    <n v="115"/>
    <n v="165"/>
    <n v="97.6"/>
    <n v="52"/>
    <n v="3"/>
    <n v="4.3437999999999999"/>
    <n v="89"/>
    <n v="293"/>
  </r>
  <r>
    <x v="30"/>
    <x v="0"/>
    <x v="157"/>
    <n v="119"/>
    <n v="113"/>
    <n v="51"/>
    <n v="31"/>
    <n v="4"/>
    <n v="5.0434000000000001"/>
    <n v="84"/>
    <n v="281"/>
  </r>
  <r>
    <x v="35"/>
    <x v="1"/>
    <x v="158"/>
    <n v="70"/>
    <n v="162"/>
    <n v="91.8"/>
    <n v="59"/>
    <n v="3"/>
    <n v="4.0254000000000003"/>
    <n v="58"/>
    <n v="72"/>
  </r>
  <r>
    <x v="11"/>
    <x v="1"/>
    <x v="96"/>
    <n v="79.33"/>
    <n v="195"/>
    <n v="140.80000000000001"/>
    <n v="42"/>
    <n v="4.6399999999999997"/>
    <n v="4.1109"/>
    <n v="96"/>
    <n v="140"/>
  </r>
  <r>
    <x v="7"/>
    <x v="1"/>
    <x v="29"/>
    <n v="126"/>
    <n v="212"/>
    <n v="127.8"/>
    <n v="45"/>
    <n v="4.71"/>
    <n v="5.2781000000000002"/>
    <n v="101"/>
    <n v="189"/>
  </r>
  <r>
    <x v="14"/>
    <x v="0"/>
    <x v="3"/>
    <n v="111"/>
    <n v="230"/>
    <n v="162"/>
    <n v="39"/>
    <n v="6"/>
    <n v="4.9767000000000001"/>
    <n v="90"/>
    <n v="181"/>
  </r>
  <r>
    <x v="32"/>
    <x v="0"/>
    <x v="159"/>
    <n v="97"/>
    <n v="224"/>
    <n v="139.19999999999999"/>
    <n v="42"/>
    <n v="5"/>
    <n v="5.3659999999999997"/>
    <n v="81"/>
    <n v="209"/>
  </r>
  <r>
    <x v="4"/>
    <x v="1"/>
    <x v="80"/>
    <n v="82"/>
    <n v="136"/>
    <n v="69.2"/>
    <n v="55"/>
    <n v="2"/>
    <n v="4.0774999999999997"/>
    <n v="85"/>
    <n v="136"/>
  </r>
  <r>
    <x v="54"/>
    <x v="1"/>
    <x v="148"/>
    <n v="113"/>
    <n v="200"/>
    <n v="123.8"/>
    <n v="54"/>
    <n v="4"/>
    <n v="4.7095000000000002"/>
    <n v="112"/>
    <n v="261"/>
  </r>
  <r>
    <x v="14"/>
    <x v="1"/>
    <x v="99"/>
    <n v="87"/>
    <n v="197"/>
    <n v="120"/>
    <n v="63"/>
    <n v="3"/>
    <n v="4.2484999999999999"/>
    <n v="96"/>
    <n v="113"/>
  </r>
  <r>
    <x v="51"/>
    <x v="0"/>
    <x v="121"/>
    <n v="93.33"/>
    <n v="269"/>
    <n v="190.2"/>
    <n v="41"/>
    <n v="6.56"/>
    <n v="5.2416999999999998"/>
    <n v="93"/>
    <n v="131"/>
  </r>
  <r>
    <x v="15"/>
    <x v="1"/>
    <x v="135"/>
    <n v="80"/>
    <n v="208"/>
    <n v="145.6"/>
    <n v="38"/>
    <n v="6"/>
    <n v="4.8040000000000003"/>
    <n v="92"/>
    <n v="174"/>
  </r>
  <r>
    <x v="18"/>
    <x v="1"/>
    <x v="160"/>
    <n v="123.33"/>
    <n v="187"/>
    <n v="127"/>
    <n v="45"/>
    <n v="4.16"/>
    <n v="4.3174999999999999"/>
    <n v="100"/>
    <n v="257"/>
  </r>
  <r>
    <x v="14"/>
    <x v="1"/>
    <x v="34"/>
    <n v="73"/>
    <n v="178"/>
    <n v="114.6"/>
    <n v="51"/>
    <n v="3.49"/>
    <n v="4.1271000000000004"/>
    <n v="92"/>
    <n v="55"/>
  </r>
  <r>
    <x v="47"/>
    <x v="1"/>
    <x v="53"/>
    <n v="87"/>
    <n v="261"/>
    <n v="175.6"/>
    <n v="69"/>
    <n v="4"/>
    <n v="4.4066999999999998"/>
    <n v="93"/>
    <n v="84"/>
  </r>
  <r>
    <x v="44"/>
    <x v="1"/>
    <x v="115"/>
    <n v="79"/>
    <n v="141"/>
    <n v="78.8"/>
    <n v="53"/>
    <n v="3"/>
    <n v="3.8285999999999998"/>
    <n v="90"/>
    <n v="42"/>
  </r>
  <r>
    <x v="46"/>
    <x v="1"/>
    <x v="4"/>
    <n v="94.67"/>
    <n v="190"/>
    <n v="137.6"/>
    <n v="38"/>
    <n v="5"/>
    <n v="4.2766999999999999"/>
    <n v="106"/>
    <n v="146"/>
  </r>
  <r>
    <x v="0"/>
    <x v="0"/>
    <x v="44"/>
    <n v="101"/>
    <n v="218"/>
    <n v="144.19999999999999"/>
    <n v="38"/>
    <n v="6"/>
    <n v="5.1874000000000002"/>
    <n v="95"/>
    <n v="212"/>
  </r>
  <r>
    <x v="36"/>
    <x v="0"/>
    <x v="161"/>
    <n v="110"/>
    <n v="246"/>
    <n v="156.6"/>
    <n v="57"/>
    <n v="4"/>
    <n v="5.0876000000000001"/>
    <n v="89"/>
    <n v="233"/>
  </r>
  <r>
    <x v="47"/>
    <x v="0"/>
    <x v="64"/>
    <n v="103"/>
    <n v="217"/>
    <n v="162.4"/>
    <n v="30"/>
    <n v="7"/>
    <n v="4.8121999999999998"/>
    <n v="80"/>
    <n v="91"/>
  </r>
  <r>
    <x v="43"/>
    <x v="0"/>
    <x v="33"/>
    <n v="89"/>
    <n v="177"/>
    <n v="113"/>
    <n v="37"/>
    <n v="5"/>
    <n v="4.9053000000000004"/>
    <n v="97"/>
    <n v="111"/>
  </r>
  <r>
    <x v="36"/>
    <x v="1"/>
    <x v="5"/>
    <n v="71"/>
    <n v="116"/>
    <n v="43.4"/>
    <n v="56"/>
    <n v="2"/>
    <n v="4.4188000000000001"/>
    <n v="79"/>
    <n v="152"/>
  </r>
  <r>
    <x v="29"/>
    <x v="0"/>
    <x v="144"/>
    <n v="107.33"/>
    <n v="231"/>
    <n v="159.4"/>
    <n v="41"/>
    <n v="5.63"/>
    <n v="5.0304000000000002"/>
    <n v="112"/>
    <n v="120"/>
  </r>
  <r>
    <x v="39"/>
    <x v="0"/>
    <x v="93"/>
    <n v="93"/>
    <n v="136"/>
    <n v="75.400000000000006"/>
    <n v="48"/>
    <n v="3"/>
    <n v="4.1430999999999996"/>
    <n v="99"/>
    <n v="67"/>
  </r>
  <r>
    <x v="30"/>
    <x v="0"/>
    <x v="69"/>
    <n v="120"/>
    <n v="215"/>
    <n v="129.19999999999999"/>
    <n v="43"/>
    <n v="5"/>
    <n v="5.3659999999999997"/>
    <n v="123"/>
    <n v="310"/>
  </r>
  <r>
    <x v="37"/>
    <x v="1"/>
    <x v="101"/>
    <n v="88"/>
    <n v="223"/>
    <n v="142"/>
    <n v="65"/>
    <n v="3.4"/>
    <n v="4.3567"/>
    <n v="82"/>
    <n v="94"/>
  </r>
  <r>
    <x v="32"/>
    <x v="1"/>
    <x v="17"/>
    <n v="80"/>
    <n v="205"/>
    <n v="144.4"/>
    <n v="42"/>
    <n v="5"/>
    <n v="4.5326000000000004"/>
    <n v="87"/>
    <n v="183"/>
  </r>
  <r>
    <x v="16"/>
    <x v="0"/>
    <x v="31"/>
    <n v="101"/>
    <n v="162"/>
    <n v="85.4"/>
    <n v="59"/>
    <n v="3"/>
    <n v="4.4772999999999996"/>
    <n v="91"/>
    <n v="66"/>
  </r>
  <r>
    <x v="47"/>
    <x v="1"/>
    <x v="139"/>
    <n v="93"/>
    <n v="231"/>
    <n v="144"/>
    <n v="49"/>
    <n v="4.7"/>
    <n v="5.2523"/>
    <n v="117"/>
    <n v="173"/>
  </r>
  <r>
    <x v="18"/>
    <x v="1"/>
    <x v="107"/>
    <n v="86"/>
    <n v="223"/>
    <n v="128.19999999999999"/>
    <n v="83"/>
    <n v="3"/>
    <n v="4.0774999999999997"/>
    <n v="89"/>
    <n v="72"/>
  </r>
  <r>
    <x v="12"/>
    <x v="1"/>
    <x v="79"/>
    <n v="97"/>
    <n v="193"/>
    <n v="122.4"/>
    <n v="58"/>
    <n v="3"/>
    <n v="4.1430999999999996"/>
    <n v="99"/>
    <n v="49"/>
  </r>
  <r>
    <x v="49"/>
    <x v="1"/>
    <x v="38"/>
    <n v="83"/>
    <n v="177"/>
    <n v="118.4"/>
    <n v="45"/>
    <n v="4"/>
    <n v="4.2195"/>
    <n v="82"/>
    <n v="64"/>
  </r>
  <r>
    <x v="35"/>
    <x v="1"/>
    <x v="162"/>
    <n v="80"/>
    <n v="171"/>
    <n v="85.4"/>
    <n v="75"/>
    <n v="2"/>
    <n v="3.9702999999999999"/>
    <n v="80"/>
    <n v="48"/>
  </r>
  <r>
    <x v="8"/>
    <x v="0"/>
    <x v="112"/>
    <n v="112"/>
    <n v="185"/>
    <n v="113.8"/>
    <n v="42"/>
    <n v="4"/>
    <n v="4.9836"/>
    <n v="93"/>
    <n v="178"/>
  </r>
  <r>
    <x v="15"/>
    <x v="0"/>
    <x v="46"/>
    <n v="75"/>
    <n v="225"/>
    <n v="166"/>
    <n v="42"/>
    <n v="5"/>
    <n v="4.4427000000000003"/>
    <n v="102"/>
    <n v="104"/>
  </r>
  <r>
    <x v="8"/>
    <x v="0"/>
    <x v="46"/>
    <n v="99.67"/>
    <n v="162"/>
    <n v="106.6"/>
    <n v="43"/>
    <n v="3.77"/>
    <n v="4.1271000000000004"/>
    <n v="95"/>
    <n v="132"/>
  </r>
  <r>
    <x v="6"/>
    <x v="1"/>
    <x v="8"/>
    <n v="95"/>
    <n v="201"/>
    <n v="125.2"/>
    <n v="42"/>
    <n v="4.79"/>
    <n v="5.1299000000000001"/>
    <n v="85"/>
    <n v="220"/>
  </r>
  <r>
    <x v="6"/>
    <x v="1"/>
    <x v="41"/>
    <n v="71"/>
    <n v="250"/>
    <n v="133.19999999999999"/>
    <n v="97"/>
    <n v="3"/>
    <n v="4.5951000000000004"/>
    <n v="92"/>
    <n v="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76AF5E-FA8A-4ED7-9211-A9EFA27526D4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B4" firstHeaderRow="1" firstDataRow="1" firstDataCol="1"/>
  <pivotFields count="11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arget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3C63F9-C7F3-4211-A9EA-6FF6E3A1FA14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:D166" firstHeaderRow="1" firstDataRow="2" firstDataCol="1"/>
  <pivotFields count="11">
    <pivotField showAll="0"/>
    <pivotField axis="axisCol" showAll="0">
      <items count="3">
        <item x="1"/>
        <item x="0"/>
        <item t="default"/>
      </items>
    </pivotField>
    <pivotField axis="axisRow" showAll="0" avgSubtotal="1">
      <items count="164">
        <item x="137"/>
        <item x="155"/>
        <item x="151"/>
        <item x="9"/>
        <item x="90"/>
        <item x="158"/>
        <item x="110"/>
        <item x="23"/>
        <item x="74"/>
        <item x="65"/>
        <item x="162"/>
        <item x="41"/>
        <item x="150"/>
        <item x="125"/>
        <item x="57"/>
        <item x="130"/>
        <item x="37"/>
        <item x="106"/>
        <item x="27"/>
        <item x="50"/>
        <item x="30"/>
        <item x="85"/>
        <item x="84"/>
        <item x="107"/>
        <item x="117"/>
        <item x="62"/>
        <item x="17"/>
        <item x="120"/>
        <item x="115"/>
        <item x="87"/>
        <item x="138"/>
        <item x="1"/>
        <item x="29"/>
        <item x="48"/>
        <item x="66"/>
        <item x="6"/>
        <item x="56"/>
        <item x="71"/>
        <item x="100"/>
        <item x="114"/>
        <item x="42"/>
        <item x="5"/>
        <item x="64"/>
        <item x="111"/>
        <item x="52"/>
        <item x="4"/>
        <item x="40"/>
        <item x="144"/>
        <item x="101"/>
        <item x="73"/>
        <item x="31"/>
        <item x="55"/>
        <item x="11"/>
        <item x="159"/>
        <item x="109"/>
        <item x="12"/>
        <item x="53"/>
        <item x="38"/>
        <item x="18"/>
        <item x="25"/>
        <item x="59"/>
        <item x="105"/>
        <item x="13"/>
        <item x="68"/>
        <item x="46"/>
        <item x="54"/>
        <item x="141"/>
        <item x="22"/>
        <item x="3"/>
        <item x="16"/>
        <item x="45"/>
        <item x="36"/>
        <item x="43"/>
        <item x="26"/>
        <item x="70"/>
        <item x="19"/>
        <item x="116"/>
        <item x="7"/>
        <item x="99"/>
        <item x="129"/>
        <item x="79"/>
        <item x="60"/>
        <item x="118"/>
        <item x="51"/>
        <item x="93"/>
        <item x="121"/>
        <item x="135"/>
        <item x="63"/>
        <item x="33"/>
        <item x="15"/>
        <item x="35"/>
        <item x="97"/>
        <item x="44"/>
        <item x="10"/>
        <item x="136"/>
        <item x="112"/>
        <item x="77"/>
        <item x="149"/>
        <item x="32"/>
        <item x="83"/>
        <item x="47"/>
        <item x="122"/>
        <item x="113"/>
        <item x="61"/>
        <item x="103"/>
        <item x="127"/>
        <item x="128"/>
        <item x="58"/>
        <item x="82"/>
        <item x="21"/>
        <item x="124"/>
        <item x="154"/>
        <item x="8"/>
        <item x="123"/>
        <item x="49"/>
        <item x="14"/>
        <item x="88"/>
        <item x="2"/>
        <item x="76"/>
        <item x="94"/>
        <item x="92"/>
        <item x="75"/>
        <item x="67"/>
        <item x="143"/>
        <item x="119"/>
        <item x="139"/>
        <item x="89"/>
        <item x="80"/>
        <item x="24"/>
        <item x="20"/>
        <item x="0"/>
        <item x="102"/>
        <item x="72"/>
        <item x="146"/>
        <item x="39"/>
        <item x="108"/>
        <item x="98"/>
        <item x="34"/>
        <item x="104"/>
        <item x="142"/>
        <item x="131"/>
        <item x="140"/>
        <item x="161"/>
        <item x="160"/>
        <item x="81"/>
        <item x="148"/>
        <item x="69"/>
        <item x="96"/>
        <item x="126"/>
        <item x="86"/>
        <item x="156"/>
        <item x="132"/>
        <item x="147"/>
        <item x="78"/>
        <item x="91"/>
        <item x="145"/>
        <item x="157"/>
        <item x="28"/>
        <item x="134"/>
        <item x="95"/>
        <item x="152"/>
        <item x="133"/>
        <item x="153"/>
        <item t="avg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2"/>
  </rowFields>
  <rowItems count="16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target" fld="10" baseField="2" baseItem="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56832-07BB-4CE5-B8F4-9E04C7D9A03E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63" firstHeaderRow="1" firstDataRow="2" firstDataCol="1"/>
  <pivotFields count="11">
    <pivotField axis="axisRow" showAll="0">
      <items count="59">
        <item x="23"/>
        <item x="41"/>
        <item x="33"/>
        <item x="10"/>
        <item x="5"/>
        <item x="3"/>
        <item x="20"/>
        <item x="50"/>
        <item x="36"/>
        <item x="48"/>
        <item x="9"/>
        <item x="22"/>
        <item x="21"/>
        <item x="27"/>
        <item x="35"/>
        <item x="14"/>
        <item x="19"/>
        <item x="6"/>
        <item x="37"/>
        <item x="17"/>
        <item x="39"/>
        <item x="40"/>
        <item x="18"/>
        <item x="24"/>
        <item x="44"/>
        <item x="42"/>
        <item x="49"/>
        <item x="32"/>
        <item x="15"/>
        <item x="1"/>
        <item x="43"/>
        <item x="4"/>
        <item x="47"/>
        <item x="31"/>
        <item x="12"/>
        <item x="34"/>
        <item x="46"/>
        <item x="11"/>
        <item x="29"/>
        <item x="28"/>
        <item x="0"/>
        <item x="8"/>
        <item x="13"/>
        <item x="30"/>
        <item x="25"/>
        <item x="45"/>
        <item x="38"/>
        <item x="7"/>
        <item x="26"/>
        <item x="16"/>
        <item x="54"/>
        <item x="55"/>
        <item x="51"/>
        <item x="2"/>
        <item x="57"/>
        <item x="53"/>
        <item x="56"/>
        <item x="52"/>
        <item t="default"/>
      </items>
    </pivotField>
    <pivotField axis="axisCol" showAll="0">
      <items count="3">
        <item x="1"/>
        <item x="0"/>
        <item t="default"/>
      </items>
    </pivotField>
    <pivotField showAll="0">
      <items count="164">
        <item x="137"/>
        <item x="155"/>
        <item x="151"/>
        <item x="9"/>
        <item x="90"/>
        <item x="158"/>
        <item x="110"/>
        <item x="23"/>
        <item x="74"/>
        <item x="65"/>
        <item x="162"/>
        <item x="41"/>
        <item x="150"/>
        <item x="125"/>
        <item x="57"/>
        <item x="130"/>
        <item x="37"/>
        <item x="106"/>
        <item x="27"/>
        <item x="50"/>
        <item x="30"/>
        <item x="85"/>
        <item x="84"/>
        <item x="107"/>
        <item x="117"/>
        <item x="62"/>
        <item x="17"/>
        <item x="120"/>
        <item x="115"/>
        <item x="87"/>
        <item x="138"/>
        <item x="1"/>
        <item x="29"/>
        <item x="48"/>
        <item x="66"/>
        <item x="6"/>
        <item x="56"/>
        <item x="71"/>
        <item x="100"/>
        <item x="114"/>
        <item x="42"/>
        <item x="5"/>
        <item x="64"/>
        <item x="111"/>
        <item x="52"/>
        <item x="4"/>
        <item x="40"/>
        <item x="144"/>
        <item x="101"/>
        <item x="73"/>
        <item x="31"/>
        <item x="55"/>
        <item x="11"/>
        <item x="159"/>
        <item x="109"/>
        <item x="12"/>
        <item x="53"/>
        <item x="38"/>
        <item x="18"/>
        <item x="25"/>
        <item x="59"/>
        <item x="105"/>
        <item x="13"/>
        <item x="68"/>
        <item x="46"/>
        <item x="54"/>
        <item x="141"/>
        <item x="22"/>
        <item x="3"/>
        <item x="16"/>
        <item x="45"/>
        <item x="36"/>
        <item x="43"/>
        <item x="26"/>
        <item x="70"/>
        <item x="19"/>
        <item x="116"/>
        <item x="7"/>
        <item x="99"/>
        <item x="129"/>
        <item x="79"/>
        <item x="60"/>
        <item x="118"/>
        <item x="51"/>
        <item x="93"/>
        <item x="121"/>
        <item x="135"/>
        <item x="63"/>
        <item x="33"/>
        <item x="15"/>
        <item x="35"/>
        <item x="97"/>
        <item x="44"/>
        <item x="10"/>
        <item x="136"/>
        <item x="112"/>
        <item x="77"/>
        <item x="149"/>
        <item x="32"/>
        <item x="83"/>
        <item x="47"/>
        <item x="122"/>
        <item x="113"/>
        <item x="61"/>
        <item x="103"/>
        <item x="127"/>
        <item x="128"/>
        <item x="58"/>
        <item x="82"/>
        <item x="21"/>
        <item x="124"/>
        <item x="154"/>
        <item x="8"/>
        <item x="123"/>
        <item x="49"/>
        <item x="14"/>
        <item x="88"/>
        <item x="2"/>
        <item x="76"/>
        <item x="94"/>
        <item x="92"/>
        <item x="75"/>
        <item x="67"/>
        <item x="143"/>
        <item x="119"/>
        <item x="139"/>
        <item x="89"/>
        <item x="80"/>
        <item x="24"/>
        <item x="20"/>
        <item x="0"/>
        <item x="102"/>
        <item x="72"/>
        <item x="146"/>
        <item x="39"/>
        <item x="108"/>
        <item x="98"/>
        <item x="34"/>
        <item x="104"/>
        <item x="142"/>
        <item x="131"/>
        <item x="140"/>
        <item x="161"/>
        <item x="160"/>
        <item x="81"/>
        <item x="148"/>
        <item x="69"/>
        <item x="96"/>
        <item x="126"/>
        <item x="86"/>
        <item x="156"/>
        <item x="132"/>
        <item x="147"/>
        <item x="78"/>
        <item x="91"/>
        <item x="145"/>
        <item x="157"/>
        <item x="28"/>
        <item x="134"/>
        <item x="95"/>
        <item x="152"/>
        <item x="133"/>
        <item x="15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Sum of target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3"/>
  <sheetViews>
    <sheetView workbookViewId="0">
      <pane xSplit="1" ySplit="1" topLeftCell="B408" activePane="bottomRight" state="frozen"/>
      <selection pane="topRight" activeCell="B1" sqref="B1"/>
      <selection pane="bottomLeft" activeCell="A2" sqref="A2"/>
      <selection pane="bottomRight" activeCell="P78" sqref="P78"/>
    </sheetView>
  </sheetViews>
  <sheetFormatPr defaultRowHeight="15" x14ac:dyDescent="0.25"/>
  <cols>
    <col min="13" max="13" width="13.7109375" customWidth="1"/>
  </cols>
  <sheetData>
    <row r="1" spans="1:24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</row>
    <row r="2" spans="1:24" x14ac:dyDescent="0.25">
      <c r="A2">
        <v>59</v>
      </c>
      <c r="B2">
        <v>2</v>
      </c>
      <c r="C2">
        <v>32.1</v>
      </c>
      <c r="D2">
        <v>101</v>
      </c>
      <c r="E2">
        <v>157</v>
      </c>
      <c r="F2">
        <v>93.2</v>
      </c>
      <c r="G2">
        <v>38</v>
      </c>
      <c r="H2">
        <v>4</v>
      </c>
      <c r="I2">
        <v>4.8597999999999999</v>
      </c>
      <c r="J2">
        <v>87</v>
      </c>
      <c r="K2">
        <v>151</v>
      </c>
    </row>
    <row r="3" spans="1:24" x14ac:dyDescent="0.25">
      <c r="A3">
        <v>48</v>
      </c>
      <c r="B3">
        <v>1</v>
      </c>
      <c r="C3">
        <v>21.6</v>
      </c>
      <c r="D3">
        <v>87</v>
      </c>
      <c r="E3">
        <v>183</v>
      </c>
      <c r="F3">
        <v>103.2</v>
      </c>
      <c r="G3">
        <v>70</v>
      </c>
      <c r="H3">
        <v>3</v>
      </c>
      <c r="I3">
        <v>3.8917999999999999</v>
      </c>
      <c r="J3">
        <v>69</v>
      </c>
      <c r="K3">
        <v>75</v>
      </c>
    </row>
    <row r="4" spans="1:24" x14ac:dyDescent="0.25">
      <c r="A4">
        <v>72</v>
      </c>
      <c r="B4">
        <v>2</v>
      </c>
      <c r="C4">
        <v>30.5</v>
      </c>
      <c r="D4">
        <v>93</v>
      </c>
      <c r="E4">
        <v>156</v>
      </c>
      <c r="F4">
        <v>93.6</v>
      </c>
      <c r="G4">
        <v>41</v>
      </c>
      <c r="H4">
        <v>4</v>
      </c>
      <c r="I4">
        <v>4.6727999999999996</v>
      </c>
      <c r="J4">
        <v>85</v>
      </c>
      <c r="K4">
        <v>141</v>
      </c>
    </row>
    <row r="5" spans="1:24" x14ac:dyDescent="0.25">
      <c r="A5">
        <v>24</v>
      </c>
      <c r="B5">
        <v>1</v>
      </c>
      <c r="C5">
        <v>25.3</v>
      </c>
      <c r="D5">
        <v>84</v>
      </c>
      <c r="E5">
        <v>198</v>
      </c>
      <c r="F5">
        <v>131.4</v>
      </c>
      <c r="G5">
        <v>40</v>
      </c>
      <c r="H5">
        <v>5</v>
      </c>
      <c r="I5">
        <v>4.8902999999999999</v>
      </c>
      <c r="J5">
        <v>89</v>
      </c>
      <c r="K5">
        <v>206</v>
      </c>
      <c r="M5" s="1"/>
      <c r="N5" s="1" t="s">
        <v>11</v>
      </c>
      <c r="O5" s="1" t="s">
        <v>1</v>
      </c>
      <c r="P5" s="1" t="s">
        <v>2</v>
      </c>
      <c r="Q5" s="1" t="s">
        <v>3</v>
      </c>
      <c r="R5" s="1" t="s">
        <v>4</v>
      </c>
      <c r="S5" s="1" t="s">
        <v>5</v>
      </c>
      <c r="T5" s="1" t="s">
        <v>6</v>
      </c>
      <c r="U5" s="1" t="s">
        <v>7</v>
      </c>
      <c r="V5" s="1" t="s">
        <v>8</v>
      </c>
      <c r="W5" s="1" t="s">
        <v>9</v>
      </c>
      <c r="X5" s="1" t="s">
        <v>10</v>
      </c>
    </row>
    <row r="6" spans="1:24" x14ac:dyDescent="0.25">
      <c r="A6">
        <v>50</v>
      </c>
      <c r="B6">
        <v>1</v>
      </c>
      <c r="C6">
        <v>23</v>
      </c>
      <c r="D6">
        <v>101</v>
      </c>
      <c r="E6">
        <v>192</v>
      </c>
      <c r="F6">
        <v>125.4</v>
      </c>
      <c r="G6">
        <v>52</v>
      </c>
      <c r="H6">
        <v>4</v>
      </c>
      <c r="I6">
        <v>4.2904999999999998</v>
      </c>
      <c r="J6">
        <v>80</v>
      </c>
      <c r="K6">
        <v>135</v>
      </c>
      <c r="M6" s="1" t="s">
        <v>13</v>
      </c>
      <c r="N6" s="1">
        <f>AVERAGE(A2:A443)</f>
        <v>48.518099547511312</v>
      </c>
      <c r="O6" s="1">
        <f>AVERAGE(B2:B443)</f>
        <v>1.4683257918552035</v>
      </c>
      <c r="P6" s="1">
        <f>AVERAGE(C2:C443)</f>
        <v>26.375791855203641</v>
      </c>
      <c r="Q6" s="1">
        <f>AVERAGE(D2:D443)</f>
        <v>94.647013574660647</v>
      </c>
      <c r="R6" s="1">
        <f>AVERAGE(E2:E443)</f>
        <v>189.14027149321268</v>
      </c>
      <c r="S6" s="1">
        <f>AVERAGE(F2:F443)</f>
        <v>115.43914027149319</v>
      </c>
      <c r="T6" s="1">
        <f>AVERAGE(G2:G443)</f>
        <v>49.78846153846154</v>
      </c>
      <c r="U6" s="1">
        <f>AVERAGE(H2:H443)</f>
        <v>4.0702488687782807</v>
      </c>
      <c r="V6" s="1">
        <f>AVERAGE(I2:I443)</f>
        <v>4.6414108597285058</v>
      </c>
      <c r="W6" s="1">
        <f>AVERAGE(J2:J443)</f>
        <v>91.26018099547511</v>
      </c>
      <c r="X6" s="1">
        <f>AVERAGE(K2:K443)</f>
        <v>152.13348416289594</v>
      </c>
    </row>
    <row r="7" spans="1:24" x14ac:dyDescent="0.25">
      <c r="A7">
        <v>23</v>
      </c>
      <c r="B7">
        <v>1</v>
      </c>
      <c r="C7">
        <v>22.6</v>
      </c>
      <c r="D7">
        <v>89</v>
      </c>
      <c r="E7">
        <v>139</v>
      </c>
      <c r="F7">
        <v>64.8</v>
      </c>
      <c r="G7">
        <v>61</v>
      </c>
      <c r="H7">
        <v>2</v>
      </c>
      <c r="I7">
        <v>4.1897000000000002</v>
      </c>
      <c r="J7">
        <v>68</v>
      </c>
      <c r="K7">
        <v>97</v>
      </c>
      <c r="M7" s="1" t="s">
        <v>14</v>
      </c>
      <c r="N7" s="1">
        <f>_xlfn.VAR.S(A2:A443)</f>
        <v>171.84661043904745</v>
      </c>
      <c r="O7" s="1">
        <f>_xlfn.VAR.S(B2:B443)</f>
        <v>0.24956136300674109</v>
      </c>
      <c r="P7" s="1">
        <f>_xlfn.VAR.S(C2:C443)</f>
        <v>19.519798124377335</v>
      </c>
      <c r="Q7" s="1">
        <f>_xlfn.VAR.S(D2:D443)</f>
        <v>191.30440103836239</v>
      </c>
      <c r="R7" s="1">
        <f>_xlfn.VAR.S(E2:E443)</f>
        <v>1197.7172407424521</v>
      </c>
      <c r="S7" s="1">
        <f>_xlfn.VAR.S(F2:F443)</f>
        <v>924.95549404376789</v>
      </c>
      <c r="T7" s="1">
        <f>_xlfn.VAR.S(G2:G443)</f>
        <v>167.2935853828713</v>
      </c>
      <c r="U7" s="1">
        <f>_xlfn.VAR.S(H2:H443)</f>
        <v>1.6652609356563077</v>
      </c>
      <c r="V7" s="1">
        <f>_xlfn.VAR.S(I2:I443)</f>
        <v>0.27289189829450261</v>
      </c>
      <c r="W7" s="1">
        <f>_xlfn.VAR.S(J2:J443)</f>
        <v>132.16571243882154</v>
      </c>
      <c r="X7" s="2">
        <f>_xlfn.VAR.S(K2:K443)</f>
        <v>5943.331347923785</v>
      </c>
    </row>
    <row r="8" spans="1:24" x14ac:dyDescent="0.25">
      <c r="A8">
        <v>36</v>
      </c>
      <c r="B8">
        <v>2</v>
      </c>
      <c r="C8">
        <v>22</v>
      </c>
      <c r="D8">
        <v>90</v>
      </c>
      <c r="E8">
        <v>160</v>
      </c>
      <c r="F8">
        <v>99.6</v>
      </c>
      <c r="G8">
        <v>50</v>
      </c>
      <c r="H8">
        <v>3</v>
      </c>
      <c r="I8">
        <v>3.9512</v>
      </c>
      <c r="J8">
        <v>82</v>
      </c>
      <c r="K8">
        <v>138</v>
      </c>
      <c r="M8" s="1" t="s">
        <v>15</v>
      </c>
      <c r="N8" s="1">
        <f>_xlfn.STDEV.S(A2:A443)</f>
        <v>13.109027822041094</v>
      </c>
      <c r="O8" s="1">
        <f>_xlfn.STDEV.S(B2:B443)</f>
        <v>0.49956117043535431</v>
      </c>
      <c r="P8" s="1">
        <f>_xlfn.STDEV.S(C2:C443)</f>
        <v>4.4181215606157034</v>
      </c>
      <c r="Q8" s="1">
        <f>_xlfn.STDEV.S(D2:D443)</f>
        <v>13.831283419782938</v>
      </c>
      <c r="R8" s="1">
        <f>_xlfn.STDEV.S(E2:E443)</f>
        <v>34.608051675043079</v>
      </c>
      <c r="S8" s="1">
        <f>_xlfn.STDEV.S(F2:F443)</f>
        <v>30.413080969276493</v>
      </c>
      <c r="T8" s="1">
        <f>_xlfn.STDEV.S(G2:G443)</f>
        <v>12.934202154863334</v>
      </c>
      <c r="U8" s="1">
        <f>_xlfn.STDEV.S(H2:H443)</f>
        <v>1.2904498966082751</v>
      </c>
      <c r="V8" s="1">
        <f>_xlfn.STDEV.S(I2:I443)</f>
        <v>0.52239056106949577</v>
      </c>
      <c r="W8" s="1">
        <f>_xlfn.STDEV.S(J2:J443)</f>
        <v>11.496334739334165</v>
      </c>
      <c r="X8" s="1">
        <f>_xlfn.STDEV.S(K2:K443)</f>
        <v>77.093004532991088</v>
      </c>
    </row>
    <row r="9" spans="1:24" x14ac:dyDescent="0.25">
      <c r="A9">
        <v>66</v>
      </c>
      <c r="B9">
        <v>2</v>
      </c>
      <c r="C9">
        <v>26.2</v>
      </c>
      <c r="D9">
        <v>114</v>
      </c>
      <c r="E9">
        <v>255</v>
      </c>
      <c r="F9">
        <v>185</v>
      </c>
      <c r="G9">
        <v>56</v>
      </c>
      <c r="H9">
        <v>4.55</v>
      </c>
      <c r="I9">
        <v>4.2484999999999999</v>
      </c>
      <c r="J9">
        <v>92</v>
      </c>
      <c r="K9">
        <v>63</v>
      </c>
      <c r="M9" s="1" t="s">
        <v>16</v>
      </c>
      <c r="N9" s="1">
        <f>_xlfn.COVARIANCE.S(A2:A443,$K$2:$K$443)</f>
        <v>189.88306604693156</v>
      </c>
      <c r="O9" s="1">
        <f>_xlfn.COVARIANCE.S(B2:B443,$K$2:$K$443)</f>
        <v>1.6584326038107542</v>
      </c>
      <c r="P9" s="1">
        <f>_xlfn.COVARIANCE.S(C2:C443,$K$2:$K$443)</f>
        <v>199.74859020531284</v>
      </c>
      <c r="Q9" s="1">
        <f>_xlfn.COVARIANCE.S(D2:D443,$K$2:$K$443)</f>
        <v>470.74987800248317</v>
      </c>
      <c r="R9" s="1">
        <f>_xlfn.COVARIANCE.S(E2:E443,$K$2:$K$443)</f>
        <v>565.68418136485343</v>
      </c>
      <c r="S9" s="1">
        <f>_xlfn.COVARIANCE.S(F2:F443,$K$2:$K$443)</f>
        <v>408.09226921537851</v>
      </c>
      <c r="T9" s="3">
        <f>_xlfn.COVARIANCE.S(G2:G443,$K$2:$K$443)</f>
        <v>-393.65877376591641</v>
      </c>
      <c r="U9" s="1">
        <f>_xlfn.COVARIANCE.S(H2:H443,$K$2:$K$443)</f>
        <v>42.82345876812262</v>
      </c>
      <c r="V9" s="1">
        <f>_xlfn.COVARIANCE.S(I2:I443,$K$2:$K$443)</f>
        <v>22.789596052780094</v>
      </c>
      <c r="W9" s="1">
        <f>_xlfn.COVARIANCE.S(J2:J443,$K$2:$K$443)</f>
        <v>338.99013451534449</v>
      </c>
      <c r="X9" s="2">
        <f>_xlfn.COVARIANCE.S(K2:K443,$K$2:$K$443)</f>
        <v>5943.331347923785</v>
      </c>
    </row>
    <row r="10" spans="1:24" x14ac:dyDescent="0.25">
      <c r="A10">
        <v>60</v>
      </c>
      <c r="B10">
        <v>2</v>
      </c>
      <c r="C10">
        <v>32.1</v>
      </c>
      <c r="D10">
        <v>83</v>
      </c>
      <c r="E10">
        <v>179</v>
      </c>
      <c r="F10">
        <v>119.4</v>
      </c>
      <c r="G10">
        <v>42</v>
      </c>
      <c r="H10">
        <v>4</v>
      </c>
      <c r="I10">
        <v>4.4772999999999996</v>
      </c>
      <c r="J10">
        <v>94</v>
      </c>
      <c r="K10">
        <v>110</v>
      </c>
      <c r="M10" s="1" t="s">
        <v>12</v>
      </c>
      <c r="N10" s="1">
        <f>CORREL(A2:A443,$K$2:$K$443)</f>
        <v>0.18788875071891986</v>
      </c>
      <c r="O10" s="1">
        <f>CORREL(B2:B443,$K$2:$K$443)</f>
        <v>4.3061998451605417E-2</v>
      </c>
      <c r="P10" s="2">
        <f>CORREL(C2:C443,$K$2:$K$443)</f>
        <v>0.58645013447468841</v>
      </c>
      <c r="Q10" s="1">
        <f>CORREL(D2:D443,$K$2:$K$443)</f>
        <v>0.44148175856257105</v>
      </c>
      <c r="R10" s="1">
        <f>CORREL(E2:E443,$K$2:$K$443)</f>
        <v>0.21202248101455048</v>
      </c>
      <c r="S10" s="1">
        <f>CORREL(F2:F443,$K$2:$K$443)</f>
        <v>0.17405358696874265</v>
      </c>
      <c r="T10" s="3">
        <f>CORREL(G2:G443,$K$2:$K$443)</f>
        <v>-0.39478925067091797</v>
      </c>
      <c r="U10" s="1">
        <f>CORREL(H2:H443,$K$2:$K$443)</f>
        <v>0.43045288474477283</v>
      </c>
      <c r="V10" s="1">
        <f>CORREL(I2:I443,$K$2:$K$443)</f>
        <v>0.56588259244274408</v>
      </c>
      <c r="W10" s="1">
        <f>CORREL(J2:J443,$K$2:$K$443)</f>
        <v>0.38248348424858103</v>
      </c>
      <c r="X10" s="2">
        <f>CORREL(K2:K443,$K$2:$K$443)</f>
        <v>1</v>
      </c>
    </row>
    <row r="11" spans="1:24" x14ac:dyDescent="0.25">
      <c r="A11">
        <v>29</v>
      </c>
      <c r="B11">
        <v>1</v>
      </c>
      <c r="C11">
        <v>30</v>
      </c>
      <c r="D11">
        <v>85</v>
      </c>
      <c r="E11">
        <v>180</v>
      </c>
      <c r="F11">
        <v>93.4</v>
      </c>
      <c r="G11">
        <v>43</v>
      </c>
      <c r="H11">
        <v>4</v>
      </c>
      <c r="I11">
        <v>5.3845000000000001</v>
      </c>
      <c r="J11">
        <v>88</v>
      </c>
      <c r="K11">
        <v>310</v>
      </c>
    </row>
    <row r="12" spans="1:24" x14ac:dyDescent="0.25">
      <c r="A12">
        <v>22</v>
      </c>
      <c r="B12">
        <v>1</v>
      </c>
      <c r="C12">
        <v>18.600000000000001</v>
      </c>
      <c r="D12">
        <v>97</v>
      </c>
      <c r="E12">
        <v>114</v>
      </c>
      <c r="F12">
        <v>57.6</v>
      </c>
      <c r="G12">
        <v>46</v>
      </c>
      <c r="H12">
        <v>2</v>
      </c>
      <c r="I12">
        <v>3.9512</v>
      </c>
      <c r="J12">
        <v>83</v>
      </c>
      <c r="K12">
        <v>101</v>
      </c>
    </row>
    <row r="13" spans="1:24" x14ac:dyDescent="0.25">
      <c r="A13">
        <v>56</v>
      </c>
      <c r="B13">
        <v>2</v>
      </c>
      <c r="C13">
        <v>28</v>
      </c>
      <c r="D13">
        <v>85</v>
      </c>
      <c r="E13">
        <v>184</v>
      </c>
      <c r="F13">
        <v>144.80000000000001</v>
      </c>
      <c r="G13">
        <v>32</v>
      </c>
      <c r="H13">
        <v>6</v>
      </c>
      <c r="I13">
        <v>3.5834999999999999</v>
      </c>
      <c r="J13">
        <v>77</v>
      </c>
      <c r="K13">
        <v>69</v>
      </c>
    </row>
    <row r="14" spans="1:24" x14ac:dyDescent="0.25">
      <c r="A14">
        <v>53</v>
      </c>
      <c r="B14">
        <v>1</v>
      </c>
      <c r="C14">
        <v>23.7</v>
      </c>
      <c r="D14">
        <v>92</v>
      </c>
      <c r="E14">
        <v>186</v>
      </c>
      <c r="F14">
        <v>109.2</v>
      </c>
      <c r="G14">
        <v>62</v>
      </c>
      <c r="H14">
        <v>3</v>
      </c>
      <c r="I14">
        <v>4.3041</v>
      </c>
      <c r="J14">
        <v>81</v>
      </c>
      <c r="K14">
        <v>179</v>
      </c>
    </row>
    <row r="15" spans="1:24" x14ac:dyDescent="0.25">
      <c r="A15">
        <v>50</v>
      </c>
      <c r="B15">
        <v>2</v>
      </c>
      <c r="C15">
        <v>26.2</v>
      </c>
      <c r="D15">
        <v>97</v>
      </c>
      <c r="E15">
        <v>186</v>
      </c>
      <c r="F15">
        <v>105.4</v>
      </c>
      <c r="G15">
        <v>49</v>
      </c>
      <c r="H15">
        <v>4</v>
      </c>
      <c r="I15">
        <v>5.0625999999999998</v>
      </c>
      <c r="J15">
        <v>88</v>
      </c>
      <c r="K15">
        <v>185</v>
      </c>
    </row>
    <row r="16" spans="1:24" x14ac:dyDescent="0.25">
      <c r="A16">
        <v>61</v>
      </c>
      <c r="B16">
        <v>1</v>
      </c>
      <c r="C16">
        <v>24</v>
      </c>
      <c r="D16">
        <v>91</v>
      </c>
      <c r="E16">
        <v>202</v>
      </c>
      <c r="F16">
        <v>115.4</v>
      </c>
      <c r="G16">
        <v>72</v>
      </c>
      <c r="H16">
        <v>3</v>
      </c>
      <c r="I16">
        <v>4.2904999999999998</v>
      </c>
      <c r="J16">
        <v>73</v>
      </c>
      <c r="K16">
        <v>118</v>
      </c>
    </row>
    <row r="17" spans="1:11" x14ac:dyDescent="0.25">
      <c r="A17">
        <v>34</v>
      </c>
      <c r="B17">
        <v>2</v>
      </c>
      <c r="C17">
        <v>24.7</v>
      </c>
      <c r="D17">
        <v>118</v>
      </c>
      <c r="E17">
        <v>254</v>
      </c>
      <c r="F17">
        <v>184.2</v>
      </c>
      <c r="G17">
        <v>39</v>
      </c>
      <c r="H17">
        <v>7</v>
      </c>
      <c r="I17">
        <v>5.0369999999999999</v>
      </c>
      <c r="J17">
        <v>81</v>
      </c>
      <c r="K17">
        <v>171</v>
      </c>
    </row>
    <row r="18" spans="1:11" x14ac:dyDescent="0.25">
      <c r="A18">
        <v>47</v>
      </c>
      <c r="B18">
        <v>1</v>
      </c>
      <c r="C18">
        <v>30.3</v>
      </c>
      <c r="D18">
        <v>109</v>
      </c>
      <c r="E18">
        <v>207</v>
      </c>
      <c r="F18">
        <v>100.2</v>
      </c>
      <c r="G18">
        <v>70</v>
      </c>
      <c r="H18">
        <v>3</v>
      </c>
      <c r="I18">
        <v>5.2149000000000001</v>
      </c>
      <c r="J18">
        <v>98</v>
      </c>
      <c r="K18">
        <v>166</v>
      </c>
    </row>
    <row r="19" spans="1:11" x14ac:dyDescent="0.25">
      <c r="A19">
        <v>68</v>
      </c>
      <c r="B19">
        <v>2</v>
      </c>
      <c r="C19">
        <v>27.5</v>
      </c>
      <c r="D19">
        <v>111</v>
      </c>
      <c r="E19">
        <v>214</v>
      </c>
      <c r="F19">
        <v>147</v>
      </c>
      <c r="G19">
        <v>39</v>
      </c>
      <c r="H19">
        <v>5</v>
      </c>
      <c r="I19">
        <v>4.9416000000000002</v>
      </c>
      <c r="J19">
        <v>91</v>
      </c>
      <c r="K19">
        <v>144</v>
      </c>
    </row>
    <row r="20" spans="1:11" x14ac:dyDescent="0.25">
      <c r="A20">
        <v>38</v>
      </c>
      <c r="B20">
        <v>1</v>
      </c>
      <c r="C20">
        <v>25.4</v>
      </c>
      <c r="D20">
        <v>84</v>
      </c>
      <c r="E20">
        <v>162</v>
      </c>
      <c r="F20">
        <v>103</v>
      </c>
      <c r="G20">
        <v>42</v>
      </c>
      <c r="H20">
        <v>4</v>
      </c>
      <c r="I20">
        <v>4.4427000000000003</v>
      </c>
      <c r="J20">
        <v>87</v>
      </c>
      <c r="K20">
        <v>97</v>
      </c>
    </row>
    <row r="21" spans="1:11" x14ac:dyDescent="0.25">
      <c r="A21">
        <v>41</v>
      </c>
      <c r="B21">
        <v>1</v>
      </c>
      <c r="C21">
        <v>24.7</v>
      </c>
      <c r="D21">
        <v>83</v>
      </c>
      <c r="E21">
        <v>187</v>
      </c>
      <c r="F21">
        <v>108.2</v>
      </c>
      <c r="G21">
        <v>60</v>
      </c>
      <c r="H21">
        <v>3</v>
      </c>
      <c r="I21">
        <v>4.5433000000000003</v>
      </c>
      <c r="J21">
        <v>78</v>
      </c>
      <c r="K21">
        <v>168</v>
      </c>
    </row>
    <row r="22" spans="1:11" x14ac:dyDescent="0.25">
      <c r="A22">
        <v>35</v>
      </c>
      <c r="B22">
        <v>1</v>
      </c>
      <c r="C22">
        <v>21.1</v>
      </c>
      <c r="D22">
        <v>82</v>
      </c>
      <c r="E22">
        <v>156</v>
      </c>
      <c r="F22">
        <v>87.8</v>
      </c>
      <c r="G22">
        <v>50</v>
      </c>
      <c r="H22">
        <v>3</v>
      </c>
      <c r="I22">
        <v>4.5109000000000004</v>
      </c>
      <c r="J22">
        <v>95</v>
      </c>
      <c r="K22">
        <v>68</v>
      </c>
    </row>
    <row r="23" spans="1:11" x14ac:dyDescent="0.25">
      <c r="A23">
        <v>25</v>
      </c>
      <c r="B23">
        <v>2</v>
      </c>
      <c r="C23">
        <v>24.3</v>
      </c>
      <c r="D23">
        <v>95</v>
      </c>
      <c r="E23">
        <v>162</v>
      </c>
      <c r="F23">
        <v>98.6</v>
      </c>
      <c r="G23">
        <v>54</v>
      </c>
      <c r="H23">
        <v>3</v>
      </c>
      <c r="I23">
        <v>3.8500999999999999</v>
      </c>
      <c r="J23">
        <v>87</v>
      </c>
      <c r="K23">
        <v>49</v>
      </c>
    </row>
    <row r="24" spans="1:11" x14ac:dyDescent="0.25">
      <c r="A24">
        <v>25</v>
      </c>
      <c r="B24">
        <v>1</v>
      </c>
      <c r="C24">
        <v>26</v>
      </c>
      <c r="D24">
        <v>92</v>
      </c>
      <c r="E24">
        <v>187</v>
      </c>
      <c r="F24">
        <v>120.4</v>
      </c>
      <c r="G24">
        <v>56</v>
      </c>
      <c r="H24">
        <v>3</v>
      </c>
      <c r="I24">
        <v>3.9702999999999999</v>
      </c>
      <c r="J24">
        <v>88</v>
      </c>
      <c r="K24">
        <v>68</v>
      </c>
    </row>
    <row r="25" spans="1:11" x14ac:dyDescent="0.25">
      <c r="A25">
        <v>61</v>
      </c>
      <c r="B25">
        <v>2</v>
      </c>
      <c r="C25">
        <v>32</v>
      </c>
      <c r="D25">
        <v>103.67</v>
      </c>
      <c r="E25">
        <v>210</v>
      </c>
      <c r="F25">
        <v>85.2</v>
      </c>
      <c r="G25">
        <v>35</v>
      </c>
      <c r="H25">
        <v>6</v>
      </c>
      <c r="I25">
        <v>6.1070000000000002</v>
      </c>
      <c r="J25">
        <v>124</v>
      </c>
      <c r="K25">
        <v>245</v>
      </c>
    </row>
    <row r="26" spans="1:11" x14ac:dyDescent="0.25">
      <c r="A26">
        <v>31</v>
      </c>
      <c r="B26">
        <v>1</v>
      </c>
      <c r="C26">
        <v>29.7</v>
      </c>
      <c r="D26">
        <v>88</v>
      </c>
      <c r="E26">
        <v>167</v>
      </c>
      <c r="F26">
        <v>103.4</v>
      </c>
      <c r="G26">
        <v>48</v>
      </c>
      <c r="H26">
        <v>4</v>
      </c>
      <c r="I26">
        <v>4.3567</v>
      </c>
      <c r="J26">
        <v>78</v>
      </c>
      <c r="K26">
        <v>184</v>
      </c>
    </row>
    <row r="27" spans="1:11" x14ac:dyDescent="0.25">
      <c r="A27">
        <v>30</v>
      </c>
      <c r="B27">
        <v>2</v>
      </c>
      <c r="C27">
        <v>25.2</v>
      </c>
      <c r="D27">
        <v>83</v>
      </c>
      <c r="E27">
        <v>178</v>
      </c>
      <c r="F27">
        <v>118.4</v>
      </c>
      <c r="G27">
        <v>34</v>
      </c>
      <c r="H27">
        <v>5</v>
      </c>
      <c r="I27">
        <v>4.8520000000000003</v>
      </c>
      <c r="J27">
        <v>83</v>
      </c>
      <c r="K27">
        <v>202</v>
      </c>
    </row>
    <row r="28" spans="1:11" x14ac:dyDescent="0.25">
      <c r="A28">
        <v>19</v>
      </c>
      <c r="B28">
        <v>1</v>
      </c>
      <c r="C28">
        <v>19.2</v>
      </c>
      <c r="D28">
        <v>87</v>
      </c>
      <c r="E28">
        <v>124</v>
      </c>
      <c r="F28">
        <v>54</v>
      </c>
      <c r="G28">
        <v>57</v>
      </c>
      <c r="H28">
        <v>2</v>
      </c>
      <c r="I28">
        <v>4.1744000000000003</v>
      </c>
      <c r="J28">
        <v>90</v>
      </c>
      <c r="K28">
        <v>137</v>
      </c>
    </row>
    <row r="29" spans="1:11" x14ac:dyDescent="0.25">
      <c r="A29">
        <v>42</v>
      </c>
      <c r="B29">
        <v>1</v>
      </c>
      <c r="C29">
        <v>31.9</v>
      </c>
      <c r="D29">
        <v>83</v>
      </c>
      <c r="E29">
        <v>158</v>
      </c>
      <c r="F29">
        <v>87.6</v>
      </c>
      <c r="G29">
        <v>53</v>
      </c>
      <c r="H29">
        <v>3</v>
      </c>
      <c r="I29">
        <v>4.4659000000000004</v>
      </c>
      <c r="J29">
        <v>101</v>
      </c>
      <c r="K29">
        <v>85</v>
      </c>
    </row>
    <row r="30" spans="1:11" x14ac:dyDescent="0.25">
      <c r="A30">
        <v>63</v>
      </c>
      <c r="B30">
        <v>1</v>
      </c>
      <c r="C30">
        <v>24.4</v>
      </c>
      <c r="D30">
        <v>73</v>
      </c>
      <c r="E30">
        <v>160</v>
      </c>
      <c r="F30">
        <v>91.4</v>
      </c>
      <c r="G30">
        <v>48</v>
      </c>
      <c r="H30">
        <v>3</v>
      </c>
      <c r="I30">
        <v>4.6346999999999996</v>
      </c>
      <c r="J30">
        <v>78</v>
      </c>
      <c r="K30">
        <v>131</v>
      </c>
    </row>
    <row r="31" spans="1:11" x14ac:dyDescent="0.25">
      <c r="A31">
        <v>67</v>
      </c>
      <c r="B31">
        <v>2</v>
      </c>
      <c r="C31">
        <v>25.8</v>
      </c>
      <c r="D31">
        <v>113</v>
      </c>
      <c r="E31">
        <v>158</v>
      </c>
      <c r="F31">
        <v>54.2</v>
      </c>
      <c r="G31">
        <v>64</v>
      </c>
      <c r="H31">
        <v>2</v>
      </c>
      <c r="I31">
        <v>5.2933000000000003</v>
      </c>
      <c r="J31">
        <v>104</v>
      </c>
      <c r="K31">
        <v>283</v>
      </c>
    </row>
    <row r="32" spans="1:11" x14ac:dyDescent="0.25">
      <c r="A32">
        <v>32</v>
      </c>
      <c r="B32">
        <v>1</v>
      </c>
      <c r="C32">
        <v>30.5</v>
      </c>
      <c r="D32">
        <v>89</v>
      </c>
      <c r="E32">
        <v>182</v>
      </c>
      <c r="F32">
        <v>110.6</v>
      </c>
      <c r="G32">
        <v>56</v>
      </c>
      <c r="H32">
        <v>3</v>
      </c>
      <c r="I32">
        <v>4.3437999999999999</v>
      </c>
      <c r="J32">
        <v>89</v>
      </c>
      <c r="K32">
        <v>129</v>
      </c>
    </row>
    <row r="33" spans="1:11" x14ac:dyDescent="0.25">
      <c r="A33">
        <v>42</v>
      </c>
      <c r="B33">
        <v>1</v>
      </c>
      <c r="C33">
        <v>20.3</v>
      </c>
      <c r="D33">
        <v>71</v>
      </c>
      <c r="E33">
        <v>161</v>
      </c>
      <c r="F33">
        <v>81.2</v>
      </c>
      <c r="G33">
        <v>66</v>
      </c>
      <c r="H33">
        <v>2</v>
      </c>
      <c r="I33">
        <v>4.2340999999999998</v>
      </c>
      <c r="J33">
        <v>81</v>
      </c>
      <c r="K33">
        <v>59</v>
      </c>
    </row>
    <row r="34" spans="1:11" x14ac:dyDescent="0.25">
      <c r="A34">
        <v>58</v>
      </c>
      <c r="B34">
        <v>2</v>
      </c>
      <c r="C34">
        <v>38</v>
      </c>
      <c r="D34">
        <v>103</v>
      </c>
      <c r="E34">
        <v>150</v>
      </c>
      <c r="F34">
        <v>107.2</v>
      </c>
      <c r="G34">
        <v>22</v>
      </c>
      <c r="H34">
        <v>7</v>
      </c>
      <c r="I34">
        <v>4.6444000000000001</v>
      </c>
      <c r="J34">
        <v>98</v>
      </c>
      <c r="K34">
        <v>341</v>
      </c>
    </row>
    <row r="35" spans="1:11" x14ac:dyDescent="0.25">
      <c r="A35">
        <v>57</v>
      </c>
      <c r="B35">
        <v>1</v>
      </c>
      <c r="C35">
        <v>21.7</v>
      </c>
      <c r="D35">
        <v>94</v>
      </c>
      <c r="E35">
        <v>157</v>
      </c>
      <c r="F35">
        <v>58</v>
      </c>
      <c r="G35">
        <v>82</v>
      </c>
      <c r="H35">
        <v>2</v>
      </c>
      <c r="I35">
        <v>4.4427000000000003</v>
      </c>
      <c r="J35">
        <v>92</v>
      </c>
      <c r="K35">
        <v>87</v>
      </c>
    </row>
    <row r="36" spans="1:11" x14ac:dyDescent="0.25">
      <c r="A36">
        <v>53</v>
      </c>
      <c r="B36">
        <v>1</v>
      </c>
      <c r="C36">
        <v>20.5</v>
      </c>
      <c r="D36">
        <v>78</v>
      </c>
      <c r="E36">
        <v>147</v>
      </c>
      <c r="F36">
        <v>84.2</v>
      </c>
      <c r="G36">
        <v>52</v>
      </c>
      <c r="H36">
        <v>3</v>
      </c>
      <c r="I36">
        <v>3.9889999999999999</v>
      </c>
      <c r="J36">
        <v>75</v>
      </c>
      <c r="K36">
        <v>65</v>
      </c>
    </row>
    <row r="37" spans="1:11" x14ac:dyDescent="0.25">
      <c r="A37">
        <v>62</v>
      </c>
      <c r="B37">
        <v>2</v>
      </c>
      <c r="C37">
        <v>23.5</v>
      </c>
      <c r="D37">
        <v>80.33</v>
      </c>
      <c r="E37">
        <v>225</v>
      </c>
      <c r="F37">
        <v>112.8</v>
      </c>
      <c r="G37">
        <v>86</v>
      </c>
      <c r="H37">
        <v>2.62</v>
      </c>
      <c r="I37">
        <v>4.8752000000000004</v>
      </c>
      <c r="J37">
        <v>96</v>
      </c>
      <c r="K37">
        <v>102</v>
      </c>
    </row>
    <row r="38" spans="1:11" x14ac:dyDescent="0.25">
      <c r="A38">
        <v>52</v>
      </c>
      <c r="B38">
        <v>1</v>
      </c>
      <c r="C38">
        <v>28.5</v>
      </c>
      <c r="D38">
        <v>110</v>
      </c>
      <c r="E38">
        <v>195</v>
      </c>
      <c r="F38">
        <v>97.2</v>
      </c>
      <c r="G38">
        <v>60</v>
      </c>
      <c r="H38">
        <v>3</v>
      </c>
      <c r="I38">
        <v>5.2416999999999998</v>
      </c>
      <c r="J38">
        <v>85</v>
      </c>
      <c r="K38">
        <v>265</v>
      </c>
    </row>
    <row r="39" spans="1:11" x14ac:dyDescent="0.25">
      <c r="A39">
        <v>46</v>
      </c>
      <c r="B39">
        <v>1</v>
      </c>
      <c r="C39">
        <v>27.4</v>
      </c>
      <c r="D39">
        <v>78</v>
      </c>
      <c r="E39">
        <v>171</v>
      </c>
      <c r="F39">
        <v>88</v>
      </c>
      <c r="G39">
        <v>58</v>
      </c>
      <c r="H39">
        <v>3</v>
      </c>
      <c r="I39">
        <v>4.8282999999999996</v>
      </c>
      <c r="J39">
        <v>90</v>
      </c>
      <c r="K39">
        <v>276</v>
      </c>
    </row>
    <row r="40" spans="1:11" x14ac:dyDescent="0.25">
      <c r="A40">
        <v>48</v>
      </c>
      <c r="B40">
        <v>2</v>
      </c>
      <c r="C40">
        <v>33</v>
      </c>
      <c r="D40">
        <v>123</v>
      </c>
      <c r="E40">
        <v>253</v>
      </c>
      <c r="F40">
        <v>163.6</v>
      </c>
      <c r="G40">
        <v>44</v>
      </c>
      <c r="H40">
        <v>6</v>
      </c>
      <c r="I40">
        <v>5.4249999999999998</v>
      </c>
      <c r="J40">
        <v>97</v>
      </c>
      <c r="K40">
        <v>252</v>
      </c>
    </row>
    <row r="41" spans="1:11" x14ac:dyDescent="0.25">
      <c r="A41">
        <v>48</v>
      </c>
      <c r="B41">
        <v>2</v>
      </c>
      <c r="C41">
        <v>27.7</v>
      </c>
      <c r="D41">
        <v>73</v>
      </c>
      <c r="E41">
        <v>191</v>
      </c>
      <c r="F41">
        <v>119.4</v>
      </c>
      <c r="G41">
        <v>46</v>
      </c>
      <c r="H41">
        <v>4</v>
      </c>
      <c r="I41">
        <v>4.8520000000000003</v>
      </c>
      <c r="J41">
        <v>92</v>
      </c>
      <c r="K41">
        <v>90</v>
      </c>
    </row>
    <row r="42" spans="1:11" x14ac:dyDescent="0.25">
      <c r="A42">
        <v>50</v>
      </c>
      <c r="B42">
        <v>2</v>
      </c>
      <c r="C42">
        <v>25.6</v>
      </c>
      <c r="D42">
        <v>101</v>
      </c>
      <c r="E42">
        <v>229</v>
      </c>
      <c r="F42">
        <v>162.19999999999999</v>
      </c>
      <c r="G42">
        <v>43</v>
      </c>
      <c r="H42">
        <v>5</v>
      </c>
      <c r="I42">
        <v>4.7790999999999997</v>
      </c>
      <c r="J42">
        <v>114</v>
      </c>
      <c r="K42">
        <v>100</v>
      </c>
    </row>
    <row r="43" spans="1:11" x14ac:dyDescent="0.25">
      <c r="A43">
        <v>21</v>
      </c>
      <c r="B43">
        <v>1</v>
      </c>
      <c r="C43">
        <v>20.100000000000001</v>
      </c>
      <c r="D43">
        <v>63</v>
      </c>
      <c r="E43">
        <v>135</v>
      </c>
      <c r="F43">
        <v>69</v>
      </c>
      <c r="G43">
        <v>54</v>
      </c>
      <c r="H43">
        <v>3</v>
      </c>
      <c r="I43">
        <v>4.0942999999999996</v>
      </c>
      <c r="J43">
        <v>89</v>
      </c>
      <c r="K43">
        <v>55</v>
      </c>
    </row>
    <row r="44" spans="1:11" x14ac:dyDescent="0.25">
      <c r="A44">
        <v>32</v>
      </c>
      <c r="B44">
        <v>2</v>
      </c>
      <c r="C44">
        <v>25.4</v>
      </c>
      <c r="D44">
        <v>90.33</v>
      </c>
      <c r="E44">
        <v>153</v>
      </c>
      <c r="F44">
        <v>100.4</v>
      </c>
      <c r="G44">
        <v>34</v>
      </c>
      <c r="H44">
        <v>4.5</v>
      </c>
      <c r="I44">
        <v>4.5326000000000004</v>
      </c>
      <c r="J44">
        <v>83</v>
      </c>
      <c r="K44">
        <v>61</v>
      </c>
    </row>
    <row r="45" spans="1:11" x14ac:dyDescent="0.25">
      <c r="A45">
        <v>54</v>
      </c>
      <c r="B45">
        <v>1</v>
      </c>
      <c r="C45">
        <v>24.2</v>
      </c>
      <c r="D45">
        <v>74</v>
      </c>
      <c r="E45">
        <v>204</v>
      </c>
      <c r="F45">
        <v>109</v>
      </c>
      <c r="G45">
        <v>82</v>
      </c>
      <c r="H45">
        <v>2</v>
      </c>
      <c r="I45">
        <v>4.1744000000000003</v>
      </c>
      <c r="J45">
        <v>109</v>
      </c>
      <c r="K45">
        <v>92</v>
      </c>
    </row>
    <row r="46" spans="1:11" x14ac:dyDescent="0.25">
      <c r="A46">
        <v>61</v>
      </c>
      <c r="B46">
        <v>2</v>
      </c>
      <c r="C46">
        <v>32.700000000000003</v>
      </c>
      <c r="D46">
        <v>97</v>
      </c>
      <c r="E46">
        <v>177</v>
      </c>
      <c r="F46">
        <v>118.4</v>
      </c>
      <c r="G46">
        <v>29</v>
      </c>
      <c r="H46">
        <v>6</v>
      </c>
      <c r="I46">
        <v>4.9972000000000003</v>
      </c>
      <c r="J46">
        <v>87</v>
      </c>
      <c r="K46">
        <v>259</v>
      </c>
    </row>
    <row r="47" spans="1:11" x14ac:dyDescent="0.25">
      <c r="A47">
        <v>56</v>
      </c>
      <c r="B47">
        <v>2</v>
      </c>
      <c r="C47">
        <v>23.1</v>
      </c>
      <c r="D47">
        <v>104</v>
      </c>
      <c r="E47">
        <v>181</v>
      </c>
      <c r="F47">
        <v>116.4</v>
      </c>
      <c r="G47">
        <v>47</v>
      </c>
      <c r="H47">
        <v>4</v>
      </c>
      <c r="I47">
        <v>4.4772999999999996</v>
      </c>
      <c r="J47">
        <v>79</v>
      </c>
      <c r="K47">
        <v>53</v>
      </c>
    </row>
    <row r="48" spans="1:11" x14ac:dyDescent="0.25">
      <c r="A48">
        <v>33</v>
      </c>
      <c r="B48">
        <v>1</v>
      </c>
      <c r="C48">
        <v>25.3</v>
      </c>
      <c r="D48">
        <v>85</v>
      </c>
      <c r="E48">
        <v>155</v>
      </c>
      <c r="F48">
        <v>85</v>
      </c>
      <c r="G48">
        <v>51</v>
      </c>
      <c r="H48">
        <v>3</v>
      </c>
      <c r="I48">
        <v>4.5538999999999996</v>
      </c>
      <c r="J48">
        <v>70</v>
      </c>
      <c r="K48">
        <v>190</v>
      </c>
    </row>
    <row r="49" spans="1:11" x14ac:dyDescent="0.25">
      <c r="A49">
        <v>27</v>
      </c>
      <c r="B49">
        <v>1</v>
      </c>
      <c r="C49">
        <v>19.600000000000001</v>
      </c>
      <c r="D49">
        <v>78</v>
      </c>
      <c r="E49">
        <v>128</v>
      </c>
      <c r="F49">
        <v>68</v>
      </c>
      <c r="G49">
        <v>43</v>
      </c>
      <c r="H49">
        <v>3</v>
      </c>
      <c r="I49">
        <v>4.4427000000000003</v>
      </c>
      <c r="J49">
        <v>71</v>
      </c>
      <c r="K49">
        <v>142</v>
      </c>
    </row>
    <row r="50" spans="1:11" x14ac:dyDescent="0.25">
      <c r="A50">
        <v>67</v>
      </c>
      <c r="B50">
        <v>2</v>
      </c>
      <c r="C50">
        <v>22.5</v>
      </c>
      <c r="D50">
        <v>98</v>
      </c>
      <c r="E50">
        <v>191</v>
      </c>
      <c r="F50">
        <v>119.2</v>
      </c>
      <c r="G50">
        <v>61</v>
      </c>
      <c r="H50">
        <v>3</v>
      </c>
      <c r="I50">
        <v>3.9889999999999999</v>
      </c>
      <c r="J50">
        <v>86</v>
      </c>
      <c r="K50">
        <v>75</v>
      </c>
    </row>
    <row r="51" spans="1:11" x14ac:dyDescent="0.25">
      <c r="A51">
        <v>37</v>
      </c>
      <c r="B51">
        <v>2</v>
      </c>
      <c r="C51">
        <v>27.7</v>
      </c>
      <c r="D51">
        <v>93</v>
      </c>
      <c r="E51">
        <v>180</v>
      </c>
      <c r="F51">
        <v>119.4</v>
      </c>
      <c r="G51">
        <v>30</v>
      </c>
      <c r="H51">
        <v>6</v>
      </c>
      <c r="I51">
        <v>5.0304000000000002</v>
      </c>
      <c r="J51">
        <v>88</v>
      </c>
      <c r="K51">
        <v>142</v>
      </c>
    </row>
    <row r="52" spans="1:11" x14ac:dyDescent="0.25">
      <c r="A52">
        <v>58</v>
      </c>
      <c r="B52">
        <v>1</v>
      </c>
      <c r="C52">
        <v>25.7</v>
      </c>
      <c r="D52">
        <v>99</v>
      </c>
      <c r="E52">
        <v>157</v>
      </c>
      <c r="F52">
        <v>91.6</v>
      </c>
      <c r="G52">
        <v>49</v>
      </c>
      <c r="H52">
        <v>3</v>
      </c>
      <c r="I52">
        <v>4.4066999999999998</v>
      </c>
      <c r="J52">
        <v>93</v>
      </c>
      <c r="K52">
        <v>155</v>
      </c>
    </row>
    <row r="53" spans="1:11" x14ac:dyDescent="0.25">
      <c r="A53">
        <v>65</v>
      </c>
      <c r="B53">
        <v>2</v>
      </c>
      <c r="C53">
        <v>27.9</v>
      </c>
      <c r="D53">
        <v>103</v>
      </c>
      <c r="E53">
        <v>159</v>
      </c>
      <c r="F53">
        <v>96.8</v>
      </c>
      <c r="G53">
        <v>42</v>
      </c>
      <c r="H53">
        <v>4</v>
      </c>
      <c r="I53">
        <v>4.6151</v>
      </c>
      <c r="J53">
        <v>86</v>
      </c>
      <c r="K53">
        <v>225</v>
      </c>
    </row>
    <row r="54" spans="1:11" x14ac:dyDescent="0.25">
      <c r="A54">
        <v>34</v>
      </c>
      <c r="B54">
        <v>1</v>
      </c>
      <c r="C54">
        <v>25.5</v>
      </c>
      <c r="D54">
        <v>93</v>
      </c>
      <c r="E54">
        <v>218</v>
      </c>
      <c r="F54">
        <v>144</v>
      </c>
      <c r="G54">
        <v>57</v>
      </c>
      <c r="H54">
        <v>4</v>
      </c>
      <c r="I54">
        <v>4.4427000000000003</v>
      </c>
      <c r="J54">
        <v>88</v>
      </c>
      <c r="K54">
        <v>59</v>
      </c>
    </row>
    <row r="55" spans="1:11" x14ac:dyDescent="0.25">
      <c r="A55">
        <v>46</v>
      </c>
      <c r="B55">
        <v>1</v>
      </c>
      <c r="C55">
        <v>24.9</v>
      </c>
      <c r="D55">
        <v>115</v>
      </c>
      <c r="E55">
        <v>198</v>
      </c>
      <c r="F55">
        <v>129.6</v>
      </c>
      <c r="G55">
        <v>54</v>
      </c>
      <c r="H55">
        <v>4</v>
      </c>
      <c r="I55">
        <v>4.2766999999999999</v>
      </c>
      <c r="J55">
        <v>103</v>
      </c>
      <c r="K55">
        <v>104</v>
      </c>
    </row>
    <row r="56" spans="1:11" x14ac:dyDescent="0.25">
      <c r="A56">
        <v>35</v>
      </c>
      <c r="B56">
        <v>1</v>
      </c>
      <c r="C56">
        <v>28.7</v>
      </c>
      <c r="D56">
        <v>97</v>
      </c>
      <c r="E56">
        <v>204</v>
      </c>
      <c r="F56">
        <v>126.8</v>
      </c>
      <c r="G56">
        <v>64</v>
      </c>
      <c r="H56">
        <v>3</v>
      </c>
      <c r="I56">
        <v>4.1897000000000002</v>
      </c>
      <c r="J56">
        <v>93</v>
      </c>
      <c r="K56">
        <v>182</v>
      </c>
    </row>
    <row r="57" spans="1:11" x14ac:dyDescent="0.25">
      <c r="A57">
        <v>37</v>
      </c>
      <c r="B57">
        <v>1</v>
      </c>
      <c r="C57">
        <v>21.8</v>
      </c>
      <c r="D57">
        <v>84</v>
      </c>
      <c r="E57">
        <v>184</v>
      </c>
      <c r="F57">
        <v>101</v>
      </c>
      <c r="G57">
        <v>73</v>
      </c>
      <c r="H57">
        <v>3</v>
      </c>
      <c r="I57">
        <v>3.9119999999999999</v>
      </c>
      <c r="J57">
        <v>93</v>
      </c>
      <c r="K57">
        <v>128</v>
      </c>
    </row>
    <row r="58" spans="1:11" x14ac:dyDescent="0.25">
      <c r="A58">
        <v>37</v>
      </c>
      <c r="B58">
        <v>1</v>
      </c>
      <c r="C58">
        <v>30.2</v>
      </c>
      <c r="D58">
        <v>87</v>
      </c>
      <c r="E58">
        <v>166</v>
      </c>
      <c r="F58">
        <v>96</v>
      </c>
      <c r="G58">
        <v>40</v>
      </c>
      <c r="H58">
        <v>4.1500000000000004</v>
      </c>
      <c r="I58">
        <v>5.0106000000000002</v>
      </c>
      <c r="J58">
        <v>87</v>
      </c>
      <c r="K58">
        <v>52</v>
      </c>
    </row>
    <row r="59" spans="1:11" x14ac:dyDescent="0.25">
      <c r="A59">
        <v>41</v>
      </c>
      <c r="B59">
        <v>1</v>
      </c>
      <c r="C59">
        <v>20.5</v>
      </c>
      <c r="D59">
        <v>80</v>
      </c>
      <c r="E59">
        <v>124</v>
      </c>
      <c r="F59">
        <v>48.8</v>
      </c>
      <c r="G59">
        <v>64</v>
      </c>
      <c r="H59">
        <v>2</v>
      </c>
      <c r="I59">
        <v>4.0254000000000003</v>
      </c>
      <c r="J59">
        <v>75</v>
      </c>
      <c r="K59">
        <v>37</v>
      </c>
    </row>
    <row r="60" spans="1:11" x14ac:dyDescent="0.25">
      <c r="A60">
        <v>60</v>
      </c>
      <c r="B60">
        <v>1</v>
      </c>
      <c r="C60">
        <v>20.399999999999999</v>
      </c>
      <c r="D60">
        <v>105</v>
      </c>
      <c r="E60">
        <v>198</v>
      </c>
      <c r="F60">
        <v>78.400000000000006</v>
      </c>
      <c r="G60">
        <v>99</v>
      </c>
      <c r="H60">
        <v>2</v>
      </c>
      <c r="I60">
        <v>4.6346999999999996</v>
      </c>
      <c r="J60">
        <v>79</v>
      </c>
      <c r="K60">
        <v>170</v>
      </c>
    </row>
    <row r="61" spans="1:11" x14ac:dyDescent="0.25">
      <c r="A61">
        <v>66</v>
      </c>
      <c r="B61">
        <v>2</v>
      </c>
      <c r="C61">
        <v>24</v>
      </c>
      <c r="D61">
        <v>98</v>
      </c>
      <c r="E61">
        <v>236</v>
      </c>
      <c r="F61">
        <v>146.4</v>
      </c>
      <c r="G61">
        <v>58</v>
      </c>
      <c r="H61">
        <v>4</v>
      </c>
      <c r="I61">
        <v>5.0625999999999998</v>
      </c>
      <c r="J61">
        <v>96</v>
      </c>
      <c r="K61">
        <v>170</v>
      </c>
    </row>
    <row r="62" spans="1:11" x14ac:dyDescent="0.25">
      <c r="A62">
        <v>29</v>
      </c>
      <c r="B62">
        <v>1</v>
      </c>
      <c r="C62">
        <v>26</v>
      </c>
      <c r="D62">
        <v>83</v>
      </c>
      <c r="E62">
        <v>141</v>
      </c>
      <c r="F62">
        <v>65.2</v>
      </c>
      <c r="G62">
        <v>64</v>
      </c>
      <c r="H62">
        <v>2</v>
      </c>
      <c r="I62">
        <v>4.0774999999999997</v>
      </c>
      <c r="J62">
        <v>83</v>
      </c>
      <c r="K62">
        <v>61</v>
      </c>
    </row>
    <row r="63" spans="1:11" x14ac:dyDescent="0.25">
      <c r="A63">
        <v>37</v>
      </c>
      <c r="B63">
        <v>2</v>
      </c>
      <c r="C63">
        <v>26.8</v>
      </c>
      <c r="D63">
        <v>79</v>
      </c>
      <c r="E63">
        <v>157</v>
      </c>
      <c r="F63">
        <v>98</v>
      </c>
      <c r="G63">
        <v>28</v>
      </c>
      <c r="H63">
        <v>6</v>
      </c>
      <c r="I63">
        <v>5.0434000000000001</v>
      </c>
      <c r="J63">
        <v>96</v>
      </c>
      <c r="K63">
        <v>144</v>
      </c>
    </row>
    <row r="64" spans="1:11" x14ac:dyDescent="0.25">
      <c r="A64">
        <v>41</v>
      </c>
      <c r="B64">
        <v>2</v>
      </c>
      <c r="C64">
        <v>25.7</v>
      </c>
      <c r="D64">
        <v>83</v>
      </c>
      <c r="E64">
        <v>181</v>
      </c>
      <c r="F64">
        <v>106.6</v>
      </c>
      <c r="G64">
        <v>66</v>
      </c>
      <c r="H64">
        <v>3</v>
      </c>
      <c r="I64">
        <v>3.7376999999999998</v>
      </c>
      <c r="J64">
        <v>85</v>
      </c>
      <c r="K64">
        <v>52</v>
      </c>
    </row>
    <row r="65" spans="1:11" x14ac:dyDescent="0.25">
      <c r="A65">
        <v>39</v>
      </c>
      <c r="B65">
        <v>1</v>
      </c>
      <c r="C65">
        <v>22.9</v>
      </c>
      <c r="D65">
        <v>77</v>
      </c>
      <c r="E65">
        <v>204</v>
      </c>
      <c r="F65">
        <v>143.19999999999999</v>
      </c>
      <c r="G65">
        <v>46</v>
      </c>
      <c r="H65">
        <v>4</v>
      </c>
      <c r="I65">
        <v>4.3041</v>
      </c>
      <c r="J65">
        <v>74</v>
      </c>
      <c r="K65">
        <v>128</v>
      </c>
    </row>
    <row r="66" spans="1:11" x14ac:dyDescent="0.25">
      <c r="A66">
        <v>67</v>
      </c>
      <c r="B66">
        <v>2</v>
      </c>
      <c r="C66">
        <v>24</v>
      </c>
      <c r="D66">
        <v>83</v>
      </c>
      <c r="E66">
        <v>143</v>
      </c>
      <c r="F66">
        <v>77.2</v>
      </c>
      <c r="G66">
        <v>49</v>
      </c>
      <c r="H66">
        <v>3</v>
      </c>
      <c r="I66">
        <v>4.4307999999999996</v>
      </c>
      <c r="J66">
        <v>94</v>
      </c>
      <c r="K66">
        <v>71</v>
      </c>
    </row>
    <row r="67" spans="1:11" x14ac:dyDescent="0.25">
      <c r="A67">
        <v>36</v>
      </c>
      <c r="B67">
        <v>2</v>
      </c>
      <c r="C67">
        <v>24.1</v>
      </c>
      <c r="D67">
        <v>112</v>
      </c>
      <c r="E67">
        <v>193</v>
      </c>
      <c r="F67">
        <v>125</v>
      </c>
      <c r="G67">
        <v>35</v>
      </c>
      <c r="H67">
        <v>6</v>
      </c>
      <c r="I67">
        <v>5.1059000000000001</v>
      </c>
      <c r="J67">
        <v>95</v>
      </c>
      <c r="K67">
        <v>163</v>
      </c>
    </row>
    <row r="68" spans="1:11" x14ac:dyDescent="0.25">
      <c r="A68">
        <v>46</v>
      </c>
      <c r="B68">
        <v>2</v>
      </c>
      <c r="C68">
        <v>24.7</v>
      </c>
      <c r="D68">
        <v>85</v>
      </c>
      <c r="E68">
        <v>174</v>
      </c>
      <c r="F68">
        <v>123.2</v>
      </c>
      <c r="G68">
        <v>30</v>
      </c>
      <c r="H68">
        <v>6</v>
      </c>
      <c r="I68">
        <v>4.6444000000000001</v>
      </c>
      <c r="J68">
        <v>96</v>
      </c>
      <c r="K68">
        <v>150</v>
      </c>
    </row>
    <row r="69" spans="1:11" x14ac:dyDescent="0.25">
      <c r="A69">
        <v>60</v>
      </c>
      <c r="B69">
        <v>2</v>
      </c>
      <c r="C69">
        <v>25</v>
      </c>
      <c r="D69">
        <v>89.67</v>
      </c>
      <c r="E69">
        <v>185</v>
      </c>
      <c r="F69">
        <v>120.8</v>
      </c>
      <c r="G69">
        <v>46</v>
      </c>
      <c r="H69">
        <v>4.0199999999999996</v>
      </c>
      <c r="I69">
        <v>4.5109000000000004</v>
      </c>
      <c r="J69">
        <v>92</v>
      </c>
      <c r="K69">
        <v>97</v>
      </c>
    </row>
    <row r="70" spans="1:11" x14ac:dyDescent="0.25">
      <c r="A70">
        <v>59</v>
      </c>
      <c r="B70">
        <v>2</v>
      </c>
      <c r="C70">
        <v>23.6</v>
      </c>
      <c r="D70">
        <v>83</v>
      </c>
      <c r="E70">
        <v>165</v>
      </c>
      <c r="F70">
        <v>100</v>
      </c>
      <c r="G70">
        <v>47</v>
      </c>
      <c r="H70">
        <v>4</v>
      </c>
      <c r="I70">
        <v>4.4997999999999996</v>
      </c>
      <c r="J70">
        <v>92</v>
      </c>
      <c r="K70">
        <v>160</v>
      </c>
    </row>
    <row r="71" spans="1:11" x14ac:dyDescent="0.25">
      <c r="A71">
        <v>53</v>
      </c>
      <c r="B71">
        <v>1</v>
      </c>
      <c r="C71">
        <v>22.1</v>
      </c>
      <c r="D71">
        <v>93</v>
      </c>
      <c r="E71">
        <v>134</v>
      </c>
      <c r="F71">
        <v>76.2</v>
      </c>
      <c r="G71">
        <v>46</v>
      </c>
      <c r="H71">
        <v>3</v>
      </c>
      <c r="I71">
        <v>4.0774999999999997</v>
      </c>
      <c r="J71">
        <v>96</v>
      </c>
      <c r="K71">
        <v>178</v>
      </c>
    </row>
    <row r="72" spans="1:11" x14ac:dyDescent="0.25">
      <c r="A72">
        <v>48</v>
      </c>
      <c r="B72">
        <v>1</v>
      </c>
      <c r="C72">
        <v>19.899999999999999</v>
      </c>
      <c r="D72">
        <v>91</v>
      </c>
      <c r="E72">
        <v>189</v>
      </c>
      <c r="F72">
        <v>109.6</v>
      </c>
      <c r="G72">
        <v>69</v>
      </c>
      <c r="H72">
        <v>3</v>
      </c>
      <c r="I72">
        <v>3.9512</v>
      </c>
      <c r="J72">
        <v>101</v>
      </c>
      <c r="K72">
        <v>48</v>
      </c>
    </row>
    <row r="73" spans="1:11" x14ac:dyDescent="0.25">
      <c r="A73">
        <v>48</v>
      </c>
      <c r="B73">
        <v>1</v>
      </c>
      <c r="C73">
        <v>29.5</v>
      </c>
      <c r="D73">
        <v>131</v>
      </c>
      <c r="E73">
        <v>207</v>
      </c>
      <c r="F73">
        <v>132.19999999999999</v>
      </c>
      <c r="G73">
        <v>47</v>
      </c>
      <c r="H73">
        <v>4</v>
      </c>
      <c r="I73">
        <v>4.9344999999999999</v>
      </c>
      <c r="J73">
        <v>106</v>
      </c>
      <c r="K73">
        <v>270</v>
      </c>
    </row>
    <row r="74" spans="1:11" x14ac:dyDescent="0.25">
      <c r="A74">
        <v>66</v>
      </c>
      <c r="B74">
        <v>2</v>
      </c>
      <c r="C74">
        <v>26</v>
      </c>
      <c r="D74">
        <v>91</v>
      </c>
      <c r="E74">
        <v>264</v>
      </c>
      <c r="F74">
        <v>146.6</v>
      </c>
      <c r="G74">
        <v>65</v>
      </c>
      <c r="H74">
        <v>4</v>
      </c>
      <c r="I74">
        <v>5.5682999999999998</v>
      </c>
      <c r="J74">
        <v>87</v>
      </c>
      <c r="K74">
        <v>202</v>
      </c>
    </row>
    <row r="75" spans="1:11" x14ac:dyDescent="0.25">
      <c r="A75">
        <v>52</v>
      </c>
      <c r="B75">
        <v>2</v>
      </c>
      <c r="C75">
        <v>24.5</v>
      </c>
      <c r="D75">
        <v>94</v>
      </c>
      <c r="E75">
        <v>217</v>
      </c>
      <c r="F75">
        <v>149.4</v>
      </c>
      <c r="G75">
        <v>48</v>
      </c>
      <c r="H75">
        <v>5</v>
      </c>
      <c r="I75">
        <v>4.585</v>
      </c>
      <c r="J75">
        <v>89</v>
      </c>
      <c r="K75">
        <v>111</v>
      </c>
    </row>
    <row r="76" spans="1:11" x14ac:dyDescent="0.25">
      <c r="A76">
        <v>52</v>
      </c>
      <c r="B76">
        <v>2</v>
      </c>
      <c r="C76">
        <v>26.6</v>
      </c>
      <c r="D76">
        <v>111</v>
      </c>
      <c r="E76">
        <v>209</v>
      </c>
      <c r="F76">
        <v>126.4</v>
      </c>
      <c r="G76">
        <v>61</v>
      </c>
      <c r="H76">
        <v>3</v>
      </c>
      <c r="I76">
        <v>4.6821000000000002</v>
      </c>
      <c r="J76">
        <v>109</v>
      </c>
      <c r="K76">
        <v>85</v>
      </c>
    </row>
    <row r="77" spans="1:11" x14ac:dyDescent="0.25">
      <c r="A77">
        <v>46</v>
      </c>
      <c r="B77">
        <v>2</v>
      </c>
      <c r="C77">
        <v>23.5</v>
      </c>
      <c r="D77">
        <v>87</v>
      </c>
      <c r="E77">
        <v>181</v>
      </c>
      <c r="F77">
        <v>114.8</v>
      </c>
      <c r="G77">
        <v>44</v>
      </c>
      <c r="H77">
        <v>4</v>
      </c>
      <c r="I77">
        <v>4.7095000000000002</v>
      </c>
      <c r="J77">
        <v>98</v>
      </c>
      <c r="K77">
        <v>42</v>
      </c>
    </row>
    <row r="78" spans="1:11" x14ac:dyDescent="0.25">
      <c r="A78">
        <v>40</v>
      </c>
      <c r="B78">
        <v>2</v>
      </c>
      <c r="C78">
        <v>29</v>
      </c>
      <c r="D78">
        <v>115</v>
      </c>
      <c r="E78">
        <v>97</v>
      </c>
      <c r="F78">
        <v>47.2</v>
      </c>
      <c r="G78">
        <v>35</v>
      </c>
      <c r="H78">
        <v>2.77</v>
      </c>
      <c r="I78">
        <v>4.3041</v>
      </c>
      <c r="J78">
        <v>95</v>
      </c>
      <c r="K78">
        <v>170</v>
      </c>
    </row>
    <row r="79" spans="1:11" x14ac:dyDescent="0.25">
      <c r="A79">
        <v>22</v>
      </c>
      <c r="B79">
        <v>1</v>
      </c>
      <c r="C79">
        <v>23</v>
      </c>
      <c r="D79">
        <v>73</v>
      </c>
      <c r="E79">
        <v>161</v>
      </c>
      <c r="F79">
        <v>97.8</v>
      </c>
      <c r="G79">
        <v>54</v>
      </c>
      <c r="H79">
        <v>3</v>
      </c>
      <c r="I79">
        <v>3.8285999999999998</v>
      </c>
      <c r="J79">
        <v>91</v>
      </c>
      <c r="K79">
        <v>200</v>
      </c>
    </row>
    <row r="80" spans="1:11" x14ac:dyDescent="0.25">
      <c r="A80">
        <v>50</v>
      </c>
      <c r="B80">
        <v>1</v>
      </c>
      <c r="C80">
        <v>21</v>
      </c>
      <c r="D80">
        <v>88</v>
      </c>
      <c r="E80">
        <v>140</v>
      </c>
      <c r="F80">
        <v>71.8</v>
      </c>
      <c r="G80">
        <v>35</v>
      </c>
      <c r="H80">
        <v>4</v>
      </c>
      <c r="I80">
        <v>5.1120000000000001</v>
      </c>
      <c r="J80">
        <v>71</v>
      </c>
      <c r="K80">
        <v>252</v>
      </c>
    </row>
    <row r="81" spans="1:11" x14ac:dyDescent="0.25">
      <c r="A81">
        <v>20</v>
      </c>
      <c r="B81">
        <v>1</v>
      </c>
      <c r="C81">
        <v>22.9</v>
      </c>
      <c r="D81">
        <v>87</v>
      </c>
      <c r="E81">
        <v>191</v>
      </c>
      <c r="F81">
        <v>128.19999999999999</v>
      </c>
      <c r="G81">
        <v>53</v>
      </c>
      <c r="H81">
        <v>4</v>
      </c>
      <c r="I81">
        <v>3.8917999999999999</v>
      </c>
      <c r="J81">
        <v>85</v>
      </c>
      <c r="K81">
        <v>113</v>
      </c>
    </row>
    <row r="82" spans="1:11" x14ac:dyDescent="0.25">
      <c r="A82">
        <v>68</v>
      </c>
      <c r="B82">
        <v>1</v>
      </c>
      <c r="C82">
        <v>27.5</v>
      </c>
      <c r="D82">
        <v>107</v>
      </c>
      <c r="E82">
        <v>241</v>
      </c>
      <c r="F82">
        <v>149.6</v>
      </c>
      <c r="G82">
        <v>64</v>
      </c>
      <c r="H82">
        <v>4</v>
      </c>
      <c r="I82">
        <v>4.92</v>
      </c>
      <c r="J82">
        <v>90</v>
      </c>
      <c r="K82">
        <v>143</v>
      </c>
    </row>
    <row r="83" spans="1:11" x14ac:dyDescent="0.25">
      <c r="A83">
        <v>52</v>
      </c>
      <c r="B83">
        <v>2</v>
      </c>
      <c r="C83">
        <v>24.3</v>
      </c>
      <c r="D83">
        <v>86</v>
      </c>
      <c r="E83">
        <v>197</v>
      </c>
      <c r="F83">
        <v>133.6</v>
      </c>
      <c r="G83">
        <v>44</v>
      </c>
      <c r="H83">
        <v>5</v>
      </c>
      <c r="I83">
        <v>4.5747</v>
      </c>
      <c r="J83">
        <v>91</v>
      </c>
      <c r="K83">
        <v>51</v>
      </c>
    </row>
    <row r="84" spans="1:11" x14ac:dyDescent="0.25">
      <c r="A84">
        <v>44</v>
      </c>
      <c r="B84">
        <v>1</v>
      </c>
      <c r="C84">
        <v>23.1</v>
      </c>
      <c r="D84">
        <v>87</v>
      </c>
      <c r="E84">
        <v>213</v>
      </c>
      <c r="F84">
        <v>126.4</v>
      </c>
      <c r="G84">
        <v>77</v>
      </c>
      <c r="H84">
        <v>3</v>
      </c>
      <c r="I84">
        <v>3.8712</v>
      </c>
      <c r="J84">
        <v>72</v>
      </c>
      <c r="K84">
        <v>52</v>
      </c>
    </row>
    <row r="85" spans="1:11" x14ac:dyDescent="0.25">
      <c r="A85">
        <v>38</v>
      </c>
      <c r="B85">
        <v>1</v>
      </c>
      <c r="C85">
        <v>27.3</v>
      </c>
      <c r="D85">
        <v>81</v>
      </c>
      <c r="E85">
        <v>146</v>
      </c>
      <c r="F85">
        <v>81.599999999999994</v>
      </c>
      <c r="G85">
        <v>47</v>
      </c>
      <c r="H85">
        <v>3</v>
      </c>
      <c r="I85">
        <v>4.4659000000000004</v>
      </c>
      <c r="J85">
        <v>81</v>
      </c>
      <c r="K85">
        <v>210</v>
      </c>
    </row>
    <row r="86" spans="1:11" x14ac:dyDescent="0.25">
      <c r="A86">
        <v>49</v>
      </c>
      <c r="B86">
        <v>1</v>
      </c>
      <c r="C86">
        <v>22.7</v>
      </c>
      <c r="D86">
        <v>65.33</v>
      </c>
      <c r="E86">
        <v>168</v>
      </c>
      <c r="F86">
        <v>96.2</v>
      </c>
      <c r="G86">
        <v>62</v>
      </c>
      <c r="H86">
        <v>2.71</v>
      </c>
      <c r="I86">
        <v>3.8917999999999999</v>
      </c>
      <c r="J86">
        <v>60</v>
      </c>
      <c r="K86">
        <v>65</v>
      </c>
    </row>
    <row r="87" spans="1:11" x14ac:dyDescent="0.25">
      <c r="A87">
        <v>61</v>
      </c>
      <c r="B87">
        <v>1</v>
      </c>
      <c r="C87">
        <v>33</v>
      </c>
      <c r="D87">
        <v>95</v>
      </c>
      <c r="E87">
        <v>182</v>
      </c>
      <c r="F87">
        <v>114.8</v>
      </c>
      <c r="G87">
        <v>54</v>
      </c>
      <c r="H87">
        <v>3</v>
      </c>
      <c r="I87">
        <v>4.1897000000000002</v>
      </c>
      <c r="J87">
        <v>74</v>
      </c>
      <c r="K87">
        <v>141</v>
      </c>
    </row>
    <row r="88" spans="1:11" x14ac:dyDescent="0.25">
      <c r="A88">
        <v>29</v>
      </c>
      <c r="B88">
        <v>2</v>
      </c>
      <c r="C88">
        <v>19.399999999999999</v>
      </c>
      <c r="D88">
        <v>83</v>
      </c>
      <c r="E88">
        <v>152</v>
      </c>
      <c r="F88">
        <v>105.8</v>
      </c>
      <c r="G88">
        <v>39</v>
      </c>
      <c r="H88">
        <v>4</v>
      </c>
      <c r="I88">
        <v>3.5834999999999999</v>
      </c>
      <c r="J88">
        <v>83</v>
      </c>
      <c r="K88">
        <v>55</v>
      </c>
    </row>
    <row r="89" spans="1:11" x14ac:dyDescent="0.25">
      <c r="A89">
        <v>61</v>
      </c>
      <c r="B89">
        <v>1</v>
      </c>
      <c r="C89">
        <v>25.8</v>
      </c>
      <c r="D89">
        <v>98</v>
      </c>
      <c r="E89">
        <v>235</v>
      </c>
      <c r="F89">
        <v>125.8</v>
      </c>
      <c r="G89">
        <v>76</v>
      </c>
      <c r="H89">
        <v>3</v>
      </c>
      <c r="I89">
        <v>5.1120000000000001</v>
      </c>
      <c r="J89">
        <v>82</v>
      </c>
      <c r="K89">
        <v>134</v>
      </c>
    </row>
    <row r="90" spans="1:11" x14ac:dyDescent="0.25">
      <c r="A90">
        <v>34</v>
      </c>
      <c r="B90">
        <v>2</v>
      </c>
      <c r="C90">
        <v>22.6</v>
      </c>
      <c r="D90">
        <v>75</v>
      </c>
      <c r="E90">
        <v>166</v>
      </c>
      <c r="F90">
        <v>91.8</v>
      </c>
      <c r="G90">
        <v>60</v>
      </c>
      <c r="H90">
        <v>3</v>
      </c>
      <c r="I90">
        <v>4.2626999999999997</v>
      </c>
      <c r="J90">
        <v>108</v>
      </c>
      <c r="K90">
        <v>42</v>
      </c>
    </row>
    <row r="91" spans="1:11" x14ac:dyDescent="0.25">
      <c r="A91">
        <v>36</v>
      </c>
      <c r="B91">
        <v>1</v>
      </c>
      <c r="C91">
        <v>21.9</v>
      </c>
      <c r="D91">
        <v>89</v>
      </c>
      <c r="E91">
        <v>189</v>
      </c>
      <c r="F91">
        <v>105.2</v>
      </c>
      <c r="G91">
        <v>68</v>
      </c>
      <c r="H91">
        <v>3</v>
      </c>
      <c r="I91">
        <v>4.3693999999999997</v>
      </c>
      <c r="J91">
        <v>96</v>
      </c>
      <c r="K91">
        <v>111</v>
      </c>
    </row>
    <row r="92" spans="1:11" x14ac:dyDescent="0.25">
      <c r="A92">
        <v>52</v>
      </c>
      <c r="B92">
        <v>1</v>
      </c>
      <c r="C92">
        <v>24</v>
      </c>
      <c r="D92">
        <v>83</v>
      </c>
      <c r="E92">
        <v>167</v>
      </c>
      <c r="F92">
        <v>86.6</v>
      </c>
      <c r="G92">
        <v>71</v>
      </c>
      <c r="H92">
        <v>2</v>
      </c>
      <c r="I92">
        <v>3.8500999999999999</v>
      </c>
      <c r="J92">
        <v>94</v>
      </c>
      <c r="K92">
        <v>98</v>
      </c>
    </row>
    <row r="93" spans="1:11" x14ac:dyDescent="0.25">
      <c r="A93">
        <v>61</v>
      </c>
      <c r="B93">
        <v>1</v>
      </c>
      <c r="C93">
        <v>31.2</v>
      </c>
      <c r="D93">
        <v>79</v>
      </c>
      <c r="E93">
        <v>235</v>
      </c>
      <c r="F93">
        <v>156.80000000000001</v>
      </c>
      <c r="G93">
        <v>47</v>
      </c>
      <c r="H93">
        <v>5</v>
      </c>
      <c r="I93">
        <v>5.0499000000000001</v>
      </c>
      <c r="J93">
        <v>96</v>
      </c>
      <c r="K93">
        <v>164</v>
      </c>
    </row>
    <row r="94" spans="1:11" x14ac:dyDescent="0.25">
      <c r="A94">
        <v>43</v>
      </c>
      <c r="B94">
        <v>1</v>
      </c>
      <c r="C94">
        <v>26.8</v>
      </c>
      <c r="D94">
        <v>123</v>
      </c>
      <c r="E94">
        <v>193</v>
      </c>
      <c r="F94">
        <v>102.2</v>
      </c>
      <c r="G94">
        <v>67</v>
      </c>
      <c r="H94">
        <v>3</v>
      </c>
      <c r="I94">
        <v>4.7790999999999997</v>
      </c>
      <c r="J94">
        <v>94</v>
      </c>
      <c r="K94">
        <v>48</v>
      </c>
    </row>
    <row r="95" spans="1:11" x14ac:dyDescent="0.25">
      <c r="A95">
        <v>35</v>
      </c>
      <c r="B95">
        <v>1</v>
      </c>
      <c r="C95">
        <v>20.399999999999999</v>
      </c>
      <c r="D95">
        <v>65</v>
      </c>
      <c r="E95">
        <v>187</v>
      </c>
      <c r="F95">
        <v>105.6</v>
      </c>
      <c r="G95">
        <v>67</v>
      </c>
      <c r="H95">
        <v>2.79</v>
      </c>
      <c r="I95">
        <v>4.2766999999999999</v>
      </c>
      <c r="J95">
        <v>78</v>
      </c>
      <c r="K95">
        <v>96</v>
      </c>
    </row>
    <row r="96" spans="1:11" x14ac:dyDescent="0.25">
      <c r="A96">
        <v>27</v>
      </c>
      <c r="B96">
        <v>1</v>
      </c>
      <c r="C96">
        <v>24.8</v>
      </c>
      <c r="D96">
        <v>91</v>
      </c>
      <c r="E96">
        <v>189</v>
      </c>
      <c r="F96">
        <v>106.8</v>
      </c>
      <c r="G96">
        <v>69</v>
      </c>
      <c r="H96">
        <v>3</v>
      </c>
      <c r="I96">
        <v>4.1897000000000002</v>
      </c>
      <c r="J96">
        <v>69</v>
      </c>
      <c r="K96">
        <v>90</v>
      </c>
    </row>
    <row r="97" spans="1:11" x14ac:dyDescent="0.25">
      <c r="A97">
        <v>29</v>
      </c>
      <c r="B97">
        <v>1</v>
      </c>
      <c r="C97">
        <v>21</v>
      </c>
      <c r="D97">
        <v>71</v>
      </c>
      <c r="E97">
        <v>156</v>
      </c>
      <c r="F97">
        <v>97</v>
      </c>
      <c r="G97">
        <v>38</v>
      </c>
      <c r="H97">
        <v>4</v>
      </c>
      <c r="I97">
        <v>4.6539999999999999</v>
      </c>
      <c r="J97">
        <v>90</v>
      </c>
      <c r="K97">
        <v>162</v>
      </c>
    </row>
    <row r="98" spans="1:11" x14ac:dyDescent="0.25">
      <c r="A98">
        <v>64</v>
      </c>
      <c r="B98">
        <v>2</v>
      </c>
      <c r="C98">
        <v>27.3</v>
      </c>
      <c r="D98">
        <v>109</v>
      </c>
      <c r="E98">
        <v>186</v>
      </c>
      <c r="F98">
        <v>107.6</v>
      </c>
      <c r="G98">
        <v>38</v>
      </c>
      <c r="H98">
        <v>5</v>
      </c>
      <c r="I98">
        <v>5.3083</v>
      </c>
      <c r="J98">
        <v>99</v>
      </c>
      <c r="K98">
        <v>150</v>
      </c>
    </row>
    <row r="99" spans="1:11" x14ac:dyDescent="0.25">
      <c r="A99">
        <v>41</v>
      </c>
      <c r="B99">
        <v>1</v>
      </c>
      <c r="C99">
        <v>34.6</v>
      </c>
      <c r="D99">
        <v>87.33</v>
      </c>
      <c r="E99">
        <v>205</v>
      </c>
      <c r="F99">
        <v>142.6</v>
      </c>
      <c r="G99">
        <v>41</v>
      </c>
      <c r="H99">
        <v>5</v>
      </c>
      <c r="I99">
        <v>4.6727999999999996</v>
      </c>
      <c r="J99">
        <v>110</v>
      </c>
      <c r="K99">
        <v>279</v>
      </c>
    </row>
    <row r="100" spans="1:11" x14ac:dyDescent="0.25">
      <c r="A100">
        <v>49</v>
      </c>
      <c r="B100">
        <v>2</v>
      </c>
      <c r="C100">
        <v>25.9</v>
      </c>
      <c r="D100">
        <v>91</v>
      </c>
      <c r="E100">
        <v>178</v>
      </c>
      <c r="F100">
        <v>106.6</v>
      </c>
      <c r="G100">
        <v>52</v>
      </c>
      <c r="H100">
        <v>3</v>
      </c>
      <c r="I100">
        <v>4.5747</v>
      </c>
      <c r="J100">
        <v>75</v>
      </c>
      <c r="K100">
        <v>92</v>
      </c>
    </row>
    <row r="101" spans="1:11" x14ac:dyDescent="0.25">
      <c r="A101">
        <v>48</v>
      </c>
      <c r="B101">
        <v>1</v>
      </c>
      <c r="C101">
        <v>20.399999999999999</v>
      </c>
      <c r="D101">
        <v>98</v>
      </c>
      <c r="E101">
        <v>209</v>
      </c>
      <c r="F101">
        <v>139.4</v>
      </c>
      <c r="G101">
        <v>46</v>
      </c>
      <c r="H101">
        <v>5</v>
      </c>
      <c r="I101">
        <v>4.7706999999999997</v>
      </c>
      <c r="J101">
        <v>78</v>
      </c>
      <c r="K101">
        <v>83</v>
      </c>
    </row>
    <row r="102" spans="1:11" x14ac:dyDescent="0.25">
      <c r="A102">
        <v>53</v>
      </c>
      <c r="B102">
        <v>1</v>
      </c>
      <c r="C102">
        <v>28</v>
      </c>
      <c r="D102">
        <v>88</v>
      </c>
      <c r="E102">
        <v>233</v>
      </c>
      <c r="F102">
        <v>143.80000000000001</v>
      </c>
      <c r="G102">
        <v>58</v>
      </c>
      <c r="H102">
        <v>4</v>
      </c>
      <c r="I102">
        <v>5.0499000000000001</v>
      </c>
      <c r="J102">
        <v>91</v>
      </c>
      <c r="K102">
        <v>128</v>
      </c>
    </row>
    <row r="103" spans="1:11" x14ac:dyDescent="0.25">
      <c r="A103">
        <v>53</v>
      </c>
      <c r="B103">
        <v>2</v>
      </c>
      <c r="C103">
        <v>22.2</v>
      </c>
      <c r="D103">
        <v>113</v>
      </c>
      <c r="E103">
        <v>197</v>
      </c>
      <c r="F103">
        <v>115.2</v>
      </c>
      <c r="G103">
        <v>67</v>
      </c>
      <c r="H103">
        <v>3</v>
      </c>
      <c r="I103">
        <v>4.3041</v>
      </c>
      <c r="J103">
        <v>100</v>
      </c>
      <c r="K103">
        <v>102</v>
      </c>
    </row>
    <row r="104" spans="1:11" x14ac:dyDescent="0.25">
      <c r="A104">
        <v>23</v>
      </c>
      <c r="B104">
        <v>1</v>
      </c>
      <c r="C104">
        <v>29</v>
      </c>
      <c r="D104">
        <v>90</v>
      </c>
      <c r="E104">
        <v>216</v>
      </c>
      <c r="F104">
        <v>131.4</v>
      </c>
      <c r="G104">
        <v>65</v>
      </c>
      <c r="H104">
        <v>3</v>
      </c>
      <c r="I104">
        <v>4.585</v>
      </c>
      <c r="J104">
        <v>91</v>
      </c>
      <c r="K104">
        <v>302</v>
      </c>
    </row>
    <row r="105" spans="1:11" x14ac:dyDescent="0.25">
      <c r="A105">
        <v>65</v>
      </c>
      <c r="B105">
        <v>2</v>
      </c>
      <c r="C105">
        <v>30.2</v>
      </c>
      <c r="D105">
        <v>98</v>
      </c>
      <c r="E105">
        <v>219</v>
      </c>
      <c r="F105">
        <v>160.6</v>
      </c>
      <c r="G105">
        <v>40</v>
      </c>
      <c r="H105">
        <v>5</v>
      </c>
      <c r="I105">
        <v>4.5217999999999998</v>
      </c>
      <c r="J105">
        <v>84</v>
      </c>
      <c r="K105">
        <v>198</v>
      </c>
    </row>
    <row r="106" spans="1:11" x14ac:dyDescent="0.25">
      <c r="A106">
        <v>41</v>
      </c>
      <c r="B106">
        <v>1</v>
      </c>
      <c r="C106">
        <v>32.4</v>
      </c>
      <c r="D106">
        <v>94</v>
      </c>
      <c r="E106">
        <v>171</v>
      </c>
      <c r="F106">
        <v>104.4</v>
      </c>
      <c r="G106">
        <v>56</v>
      </c>
      <c r="H106">
        <v>3</v>
      </c>
      <c r="I106">
        <v>3.9702999999999999</v>
      </c>
      <c r="J106">
        <v>76</v>
      </c>
      <c r="K106">
        <v>95</v>
      </c>
    </row>
    <row r="107" spans="1:11" x14ac:dyDescent="0.25">
      <c r="A107">
        <v>55</v>
      </c>
      <c r="B107">
        <v>2</v>
      </c>
      <c r="C107">
        <v>23.4</v>
      </c>
      <c r="D107">
        <v>83</v>
      </c>
      <c r="E107">
        <v>166</v>
      </c>
      <c r="F107">
        <v>101.6</v>
      </c>
      <c r="G107">
        <v>46</v>
      </c>
      <c r="H107">
        <v>4</v>
      </c>
      <c r="I107">
        <v>4.5217999999999998</v>
      </c>
      <c r="J107">
        <v>96</v>
      </c>
      <c r="K107">
        <v>53</v>
      </c>
    </row>
    <row r="108" spans="1:11" x14ac:dyDescent="0.25">
      <c r="A108">
        <v>22</v>
      </c>
      <c r="B108">
        <v>1</v>
      </c>
      <c r="C108">
        <v>19.3</v>
      </c>
      <c r="D108">
        <v>82</v>
      </c>
      <c r="E108">
        <v>156</v>
      </c>
      <c r="F108">
        <v>93.2</v>
      </c>
      <c r="G108">
        <v>52</v>
      </c>
      <c r="H108">
        <v>3</v>
      </c>
      <c r="I108">
        <v>3.9889999999999999</v>
      </c>
      <c r="J108">
        <v>71</v>
      </c>
      <c r="K108">
        <v>134</v>
      </c>
    </row>
    <row r="109" spans="1:11" x14ac:dyDescent="0.25">
      <c r="A109">
        <v>56</v>
      </c>
      <c r="B109">
        <v>1</v>
      </c>
      <c r="C109">
        <v>31</v>
      </c>
      <c r="D109">
        <v>78.67</v>
      </c>
      <c r="E109">
        <v>187</v>
      </c>
      <c r="F109">
        <v>141.4</v>
      </c>
      <c r="G109">
        <v>34</v>
      </c>
      <c r="H109">
        <v>5.5</v>
      </c>
      <c r="I109">
        <v>4.0603999999999996</v>
      </c>
      <c r="J109">
        <v>90</v>
      </c>
      <c r="K109">
        <v>144</v>
      </c>
    </row>
    <row r="110" spans="1:11" x14ac:dyDescent="0.25">
      <c r="A110">
        <v>54</v>
      </c>
      <c r="B110">
        <v>2</v>
      </c>
      <c r="C110">
        <v>30.6</v>
      </c>
      <c r="D110">
        <v>103.33</v>
      </c>
      <c r="E110">
        <v>144</v>
      </c>
      <c r="F110">
        <v>79.8</v>
      </c>
      <c r="G110">
        <v>30</v>
      </c>
      <c r="H110">
        <v>4.8</v>
      </c>
      <c r="I110">
        <v>5.1417000000000002</v>
      </c>
      <c r="J110">
        <v>101</v>
      </c>
      <c r="K110">
        <v>232</v>
      </c>
    </row>
    <row r="111" spans="1:11" x14ac:dyDescent="0.25">
      <c r="A111">
        <v>59</v>
      </c>
      <c r="B111">
        <v>2</v>
      </c>
      <c r="C111">
        <v>25.5</v>
      </c>
      <c r="D111">
        <v>95.33</v>
      </c>
      <c r="E111">
        <v>190</v>
      </c>
      <c r="F111">
        <v>139.4</v>
      </c>
      <c r="G111">
        <v>35</v>
      </c>
      <c r="H111">
        <v>5.43</v>
      </c>
      <c r="I111">
        <v>4.3567</v>
      </c>
      <c r="J111">
        <v>117</v>
      </c>
      <c r="K111">
        <v>81</v>
      </c>
    </row>
    <row r="112" spans="1:11" x14ac:dyDescent="0.25">
      <c r="A112">
        <v>60</v>
      </c>
      <c r="B112">
        <v>2</v>
      </c>
      <c r="C112">
        <v>23.4</v>
      </c>
      <c r="D112">
        <v>88</v>
      </c>
      <c r="E112">
        <v>153</v>
      </c>
      <c r="F112">
        <v>89.8</v>
      </c>
      <c r="G112">
        <v>58</v>
      </c>
      <c r="H112">
        <v>3</v>
      </c>
      <c r="I112">
        <v>3.2581000000000002</v>
      </c>
      <c r="J112">
        <v>95</v>
      </c>
      <c r="K112">
        <v>104</v>
      </c>
    </row>
    <row r="113" spans="1:11" x14ac:dyDescent="0.25">
      <c r="A113">
        <v>54</v>
      </c>
      <c r="B113">
        <v>1</v>
      </c>
      <c r="C113">
        <v>26.8</v>
      </c>
      <c r="D113">
        <v>87</v>
      </c>
      <c r="E113">
        <v>206</v>
      </c>
      <c r="F113">
        <v>122</v>
      </c>
      <c r="G113">
        <v>68</v>
      </c>
      <c r="H113">
        <v>3</v>
      </c>
      <c r="I113">
        <v>4.3819999999999997</v>
      </c>
      <c r="J113">
        <v>80</v>
      </c>
      <c r="K113">
        <v>59</v>
      </c>
    </row>
    <row r="114" spans="1:11" x14ac:dyDescent="0.25">
      <c r="A114">
        <v>25</v>
      </c>
      <c r="B114">
        <v>1</v>
      </c>
      <c r="C114">
        <v>28.3</v>
      </c>
      <c r="D114">
        <v>87</v>
      </c>
      <c r="E114">
        <v>193</v>
      </c>
      <c r="F114">
        <v>128</v>
      </c>
      <c r="G114">
        <v>49</v>
      </c>
      <c r="H114">
        <v>4</v>
      </c>
      <c r="I114">
        <v>4.3819999999999997</v>
      </c>
      <c r="J114">
        <v>92</v>
      </c>
      <c r="K114">
        <v>246</v>
      </c>
    </row>
    <row r="115" spans="1:11" x14ac:dyDescent="0.25">
      <c r="A115">
        <v>54</v>
      </c>
      <c r="B115">
        <v>2</v>
      </c>
      <c r="C115">
        <v>27.7</v>
      </c>
      <c r="D115">
        <v>113</v>
      </c>
      <c r="E115">
        <v>200</v>
      </c>
      <c r="F115">
        <v>128.4</v>
      </c>
      <c r="G115">
        <v>37</v>
      </c>
      <c r="H115">
        <v>5</v>
      </c>
      <c r="I115">
        <v>5.1532999999999998</v>
      </c>
      <c r="J115">
        <v>113</v>
      </c>
      <c r="K115">
        <v>297</v>
      </c>
    </row>
    <row r="116" spans="1:11" x14ac:dyDescent="0.25">
      <c r="A116">
        <v>55</v>
      </c>
      <c r="B116">
        <v>1</v>
      </c>
      <c r="C116">
        <v>36.6</v>
      </c>
      <c r="D116">
        <v>113</v>
      </c>
      <c r="E116">
        <v>199</v>
      </c>
      <c r="F116">
        <v>94.4</v>
      </c>
      <c r="G116">
        <v>43</v>
      </c>
      <c r="H116">
        <v>4.63</v>
      </c>
      <c r="I116">
        <v>5.7301000000000002</v>
      </c>
      <c r="J116">
        <v>97</v>
      </c>
      <c r="K116">
        <v>258</v>
      </c>
    </row>
    <row r="117" spans="1:11" x14ac:dyDescent="0.25">
      <c r="A117">
        <v>40</v>
      </c>
      <c r="B117">
        <v>2</v>
      </c>
      <c r="C117">
        <v>26.5</v>
      </c>
      <c r="D117">
        <v>93</v>
      </c>
      <c r="E117">
        <v>236</v>
      </c>
      <c r="F117">
        <v>147</v>
      </c>
      <c r="G117">
        <v>37</v>
      </c>
      <c r="H117">
        <v>7</v>
      </c>
      <c r="I117">
        <v>5.5606999999999998</v>
      </c>
      <c r="J117">
        <v>92</v>
      </c>
      <c r="K117">
        <v>229</v>
      </c>
    </row>
    <row r="118" spans="1:11" x14ac:dyDescent="0.25">
      <c r="A118">
        <v>62</v>
      </c>
      <c r="B118">
        <v>2</v>
      </c>
      <c r="C118">
        <v>31.8</v>
      </c>
      <c r="D118">
        <v>115</v>
      </c>
      <c r="E118">
        <v>199</v>
      </c>
      <c r="F118">
        <v>128.6</v>
      </c>
      <c r="G118">
        <v>44</v>
      </c>
      <c r="H118">
        <v>5</v>
      </c>
      <c r="I118">
        <v>4.8827999999999996</v>
      </c>
      <c r="J118">
        <v>98</v>
      </c>
      <c r="K118">
        <v>275</v>
      </c>
    </row>
    <row r="119" spans="1:11" x14ac:dyDescent="0.25">
      <c r="A119">
        <v>65</v>
      </c>
      <c r="B119">
        <v>1</v>
      </c>
      <c r="C119">
        <v>24.4</v>
      </c>
      <c r="D119">
        <v>120</v>
      </c>
      <c r="E119">
        <v>222</v>
      </c>
      <c r="F119">
        <v>135.6</v>
      </c>
      <c r="G119">
        <v>37</v>
      </c>
      <c r="H119">
        <v>6</v>
      </c>
      <c r="I119">
        <v>5.5094000000000003</v>
      </c>
      <c r="J119">
        <v>124</v>
      </c>
      <c r="K119">
        <v>281</v>
      </c>
    </row>
    <row r="120" spans="1:11" x14ac:dyDescent="0.25">
      <c r="A120">
        <v>33</v>
      </c>
      <c r="B120">
        <v>2</v>
      </c>
      <c r="C120">
        <v>25.4</v>
      </c>
      <c r="D120">
        <v>102</v>
      </c>
      <c r="E120">
        <v>206</v>
      </c>
      <c r="F120">
        <v>141</v>
      </c>
      <c r="G120">
        <v>39</v>
      </c>
      <c r="H120">
        <v>5</v>
      </c>
      <c r="I120">
        <v>4.8674999999999997</v>
      </c>
      <c r="J120">
        <v>105</v>
      </c>
      <c r="K120">
        <v>179</v>
      </c>
    </row>
    <row r="121" spans="1:11" x14ac:dyDescent="0.25">
      <c r="A121">
        <v>53</v>
      </c>
      <c r="B121">
        <v>1</v>
      </c>
      <c r="C121">
        <v>22</v>
      </c>
      <c r="D121">
        <v>94</v>
      </c>
      <c r="E121">
        <v>175</v>
      </c>
      <c r="F121">
        <v>88</v>
      </c>
      <c r="G121">
        <v>59</v>
      </c>
      <c r="H121">
        <v>3</v>
      </c>
      <c r="I121">
        <v>4.9416000000000002</v>
      </c>
      <c r="J121">
        <v>98</v>
      </c>
      <c r="K121">
        <v>200</v>
      </c>
    </row>
    <row r="122" spans="1:11" x14ac:dyDescent="0.25">
      <c r="A122">
        <v>35</v>
      </c>
      <c r="B122">
        <v>1</v>
      </c>
      <c r="C122">
        <v>26.8</v>
      </c>
      <c r="D122">
        <v>98</v>
      </c>
      <c r="E122">
        <v>162</v>
      </c>
      <c r="F122">
        <v>103.6</v>
      </c>
      <c r="G122">
        <v>45</v>
      </c>
      <c r="H122">
        <v>4</v>
      </c>
      <c r="I122">
        <v>4.2046999999999999</v>
      </c>
      <c r="J122">
        <v>86</v>
      </c>
      <c r="K122">
        <v>200</v>
      </c>
    </row>
    <row r="123" spans="1:11" x14ac:dyDescent="0.25">
      <c r="A123">
        <v>66</v>
      </c>
      <c r="B123">
        <v>1</v>
      </c>
      <c r="C123">
        <v>28</v>
      </c>
      <c r="D123">
        <v>101</v>
      </c>
      <c r="E123">
        <v>195</v>
      </c>
      <c r="F123">
        <v>129.19999999999999</v>
      </c>
      <c r="G123">
        <v>40</v>
      </c>
      <c r="H123">
        <v>5</v>
      </c>
      <c r="I123">
        <v>4.8597999999999999</v>
      </c>
      <c r="J123">
        <v>94</v>
      </c>
      <c r="K123">
        <v>173</v>
      </c>
    </row>
    <row r="124" spans="1:11" x14ac:dyDescent="0.25">
      <c r="A124">
        <v>62</v>
      </c>
      <c r="B124">
        <v>2</v>
      </c>
      <c r="C124">
        <v>33.9</v>
      </c>
      <c r="D124">
        <v>101</v>
      </c>
      <c r="E124">
        <v>221</v>
      </c>
      <c r="F124">
        <v>156.4</v>
      </c>
      <c r="G124">
        <v>35</v>
      </c>
      <c r="H124">
        <v>6</v>
      </c>
      <c r="I124">
        <v>4.9972000000000003</v>
      </c>
      <c r="J124">
        <v>103</v>
      </c>
      <c r="K124">
        <v>180</v>
      </c>
    </row>
    <row r="125" spans="1:11" x14ac:dyDescent="0.25">
      <c r="A125">
        <v>50</v>
      </c>
      <c r="B125">
        <v>2</v>
      </c>
      <c r="C125">
        <v>29.6</v>
      </c>
      <c r="D125">
        <v>94.33</v>
      </c>
      <c r="E125">
        <v>300</v>
      </c>
      <c r="F125">
        <v>242.4</v>
      </c>
      <c r="G125">
        <v>33</v>
      </c>
      <c r="H125">
        <v>9.09</v>
      </c>
      <c r="I125">
        <v>4.8121999999999998</v>
      </c>
      <c r="J125">
        <v>109</v>
      </c>
      <c r="K125">
        <v>84</v>
      </c>
    </row>
    <row r="126" spans="1:11" x14ac:dyDescent="0.25">
      <c r="A126">
        <v>47</v>
      </c>
      <c r="B126">
        <v>1</v>
      </c>
      <c r="C126">
        <v>28.6</v>
      </c>
      <c r="D126">
        <v>97</v>
      </c>
      <c r="E126">
        <v>164</v>
      </c>
      <c r="F126">
        <v>90.6</v>
      </c>
      <c r="G126">
        <v>56</v>
      </c>
      <c r="H126">
        <v>3</v>
      </c>
      <c r="I126">
        <v>4.4659000000000004</v>
      </c>
      <c r="J126">
        <v>88</v>
      </c>
      <c r="K126">
        <v>121</v>
      </c>
    </row>
    <row r="127" spans="1:11" x14ac:dyDescent="0.25">
      <c r="A127">
        <v>47</v>
      </c>
      <c r="B127">
        <v>2</v>
      </c>
      <c r="C127">
        <v>25.6</v>
      </c>
      <c r="D127">
        <v>94</v>
      </c>
      <c r="E127">
        <v>165</v>
      </c>
      <c r="F127">
        <v>74.8</v>
      </c>
      <c r="G127">
        <v>40</v>
      </c>
      <c r="H127">
        <v>4</v>
      </c>
      <c r="I127">
        <v>5.5255000000000001</v>
      </c>
      <c r="J127">
        <v>93</v>
      </c>
      <c r="K127">
        <v>161</v>
      </c>
    </row>
    <row r="128" spans="1:11" x14ac:dyDescent="0.25">
      <c r="A128">
        <v>24</v>
      </c>
      <c r="B128">
        <v>1</v>
      </c>
      <c r="C128">
        <v>20.7</v>
      </c>
      <c r="D128">
        <v>87</v>
      </c>
      <c r="E128">
        <v>149</v>
      </c>
      <c r="F128">
        <v>80.599999999999994</v>
      </c>
      <c r="G128">
        <v>61</v>
      </c>
      <c r="H128">
        <v>2</v>
      </c>
      <c r="I128">
        <v>3.6109</v>
      </c>
      <c r="J128">
        <v>78</v>
      </c>
      <c r="K128">
        <v>99</v>
      </c>
    </row>
    <row r="129" spans="1:11" x14ac:dyDescent="0.25">
      <c r="A129">
        <v>58</v>
      </c>
      <c r="B129">
        <v>2</v>
      </c>
      <c r="C129">
        <v>26.2</v>
      </c>
      <c r="D129">
        <v>91</v>
      </c>
      <c r="E129">
        <v>217</v>
      </c>
      <c r="F129">
        <v>124.2</v>
      </c>
      <c r="G129">
        <v>71</v>
      </c>
      <c r="H129">
        <v>3</v>
      </c>
      <c r="I129">
        <v>4.6913</v>
      </c>
      <c r="J129">
        <v>68</v>
      </c>
      <c r="K129">
        <v>109</v>
      </c>
    </row>
    <row r="130" spans="1:11" x14ac:dyDescent="0.25">
      <c r="A130">
        <v>34</v>
      </c>
      <c r="B130">
        <v>1</v>
      </c>
      <c r="C130">
        <v>20.6</v>
      </c>
      <c r="D130">
        <v>87</v>
      </c>
      <c r="E130">
        <v>185</v>
      </c>
      <c r="F130">
        <v>112.2</v>
      </c>
      <c r="G130">
        <v>58</v>
      </c>
      <c r="H130">
        <v>3</v>
      </c>
      <c r="I130">
        <v>4.3041</v>
      </c>
      <c r="J130">
        <v>74</v>
      </c>
      <c r="K130">
        <v>115</v>
      </c>
    </row>
    <row r="131" spans="1:11" x14ac:dyDescent="0.25">
      <c r="A131">
        <v>51</v>
      </c>
      <c r="B131">
        <v>1</v>
      </c>
      <c r="C131">
        <v>27.9</v>
      </c>
      <c r="D131">
        <v>96</v>
      </c>
      <c r="E131">
        <v>196</v>
      </c>
      <c r="F131">
        <v>122.2</v>
      </c>
      <c r="G131">
        <v>42</v>
      </c>
      <c r="H131">
        <v>5</v>
      </c>
      <c r="I131">
        <v>5.0689000000000002</v>
      </c>
      <c r="J131">
        <v>120</v>
      </c>
      <c r="K131">
        <v>268</v>
      </c>
    </row>
    <row r="132" spans="1:11" x14ac:dyDescent="0.25">
      <c r="A132">
        <v>31</v>
      </c>
      <c r="B132">
        <v>2</v>
      </c>
      <c r="C132">
        <v>35.299999999999997</v>
      </c>
      <c r="D132">
        <v>125</v>
      </c>
      <c r="E132">
        <v>187</v>
      </c>
      <c r="F132">
        <v>112.4</v>
      </c>
      <c r="G132">
        <v>48</v>
      </c>
      <c r="H132">
        <v>4</v>
      </c>
      <c r="I132">
        <v>4.8902999999999999</v>
      </c>
      <c r="J132">
        <v>109</v>
      </c>
      <c r="K132">
        <v>274</v>
      </c>
    </row>
    <row r="133" spans="1:11" x14ac:dyDescent="0.25">
      <c r="A133">
        <v>22</v>
      </c>
      <c r="B133">
        <v>1</v>
      </c>
      <c r="C133">
        <v>19.899999999999999</v>
      </c>
      <c r="D133">
        <v>75</v>
      </c>
      <c r="E133">
        <v>175</v>
      </c>
      <c r="F133">
        <v>108.6</v>
      </c>
      <c r="G133">
        <v>54</v>
      </c>
      <c r="H133">
        <v>3</v>
      </c>
      <c r="I133">
        <v>4.1271000000000004</v>
      </c>
      <c r="J133">
        <v>72</v>
      </c>
      <c r="K133">
        <v>158</v>
      </c>
    </row>
    <row r="134" spans="1:11" x14ac:dyDescent="0.25">
      <c r="A134">
        <v>53</v>
      </c>
      <c r="B134">
        <v>2</v>
      </c>
      <c r="C134">
        <v>24.4</v>
      </c>
      <c r="D134">
        <v>92</v>
      </c>
      <c r="E134">
        <v>214</v>
      </c>
      <c r="F134">
        <v>146</v>
      </c>
      <c r="G134">
        <v>50</v>
      </c>
      <c r="H134">
        <v>4</v>
      </c>
      <c r="I134">
        <v>4.4997999999999996</v>
      </c>
      <c r="J134">
        <v>97</v>
      </c>
      <c r="K134">
        <v>107</v>
      </c>
    </row>
    <row r="135" spans="1:11" x14ac:dyDescent="0.25">
      <c r="A135">
        <v>37</v>
      </c>
      <c r="B135">
        <v>2</v>
      </c>
      <c r="C135">
        <v>21.4</v>
      </c>
      <c r="D135">
        <v>83</v>
      </c>
      <c r="E135">
        <v>128</v>
      </c>
      <c r="F135">
        <v>69.599999999999994</v>
      </c>
      <c r="G135">
        <v>49</v>
      </c>
      <c r="H135">
        <v>3</v>
      </c>
      <c r="I135">
        <v>3.8500999999999999</v>
      </c>
      <c r="J135">
        <v>84</v>
      </c>
      <c r="K135">
        <v>83</v>
      </c>
    </row>
    <row r="136" spans="1:11" x14ac:dyDescent="0.25">
      <c r="A136">
        <v>28</v>
      </c>
      <c r="B136">
        <v>1</v>
      </c>
      <c r="C136">
        <v>30.4</v>
      </c>
      <c r="D136">
        <v>85</v>
      </c>
      <c r="E136">
        <v>198</v>
      </c>
      <c r="F136">
        <v>115.6</v>
      </c>
      <c r="G136">
        <v>67</v>
      </c>
      <c r="H136">
        <v>3</v>
      </c>
      <c r="I136">
        <v>4.3437999999999999</v>
      </c>
      <c r="J136">
        <v>80</v>
      </c>
      <c r="K136">
        <v>103</v>
      </c>
    </row>
    <row r="137" spans="1:11" x14ac:dyDescent="0.25">
      <c r="A137">
        <v>47</v>
      </c>
      <c r="B137">
        <v>1</v>
      </c>
      <c r="C137">
        <v>31.6</v>
      </c>
      <c r="D137">
        <v>84</v>
      </c>
      <c r="E137">
        <v>154</v>
      </c>
      <c r="F137">
        <v>88</v>
      </c>
      <c r="G137">
        <v>30</v>
      </c>
      <c r="H137">
        <v>5.0999999999999996</v>
      </c>
      <c r="I137">
        <v>5.1985000000000001</v>
      </c>
      <c r="J137">
        <v>105</v>
      </c>
      <c r="K137">
        <v>272</v>
      </c>
    </row>
    <row r="138" spans="1:11" x14ac:dyDescent="0.25">
      <c r="A138">
        <v>23</v>
      </c>
      <c r="B138">
        <v>1</v>
      </c>
      <c r="C138">
        <v>18.8</v>
      </c>
      <c r="D138">
        <v>78</v>
      </c>
      <c r="E138">
        <v>145</v>
      </c>
      <c r="F138">
        <v>72</v>
      </c>
      <c r="G138">
        <v>63</v>
      </c>
      <c r="H138">
        <v>2</v>
      </c>
      <c r="I138">
        <v>3.9119999999999999</v>
      </c>
      <c r="J138">
        <v>86</v>
      </c>
      <c r="K138">
        <v>85</v>
      </c>
    </row>
    <row r="139" spans="1:11" x14ac:dyDescent="0.25">
      <c r="A139">
        <v>50</v>
      </c>
      <c r="B139">
        <v>1</v>
      </c>
      <c r="C139">
        <v>31</v>
      </c>
      <c r="D139">
        <v>123</v>
      </c>
      <c r="E139">
        <v>178</v>
      </c>
      <c r="F139">
        <v>105</v>
      </c>
      <c r="G139">
        <v>48</v>
      </c>
      <c r="H139">
        <v>4</v>
      </c>
      <c r="I139">
        <v>4.8282999999999996</v>
      </c>
      <c r="J139">
        <v>88</v>
      </c>
      <c r="K139">
        <v>280</v>
      </c>
    </row>
    <row r="140" spans="1:11" x14ac:dyDescent="0.25">
      <c r="A140">
        <v>58</v>
      </c>
      <c r="B140">
        <v>2</v>
      </c>
      <c r="C140">
        <v>36.700000000000003</v>
      </c>
      <c r="D140">
        <v>117</v>
      </c>
      <c r="E140">
        <v>166</v>
      </c>
      <c r="F140">
        <v>93.8</v>
      </c>
      <c r="G140">
        <v>44</v>
      </c>
      <c r="H140">
        <v>4</v>
      </c>
      <c r="I140">
        <v>4.9488000000000003</v>
      </c>
      <c r="J140">
        <v>109</v>
      </c>
      <c r="K140">
        <v>336</v>
      </c>
    </row>
    <row r="141" spans="1:11" x14ac:dyDescent="0.25">
      <c r="A141">
        <v>55</v>
      </c>
      <c r="B141">
        <v>1</v>
      </c>
      <c r="C141">
        <v>32.1</v>
      </c>
      <c r="D141">
        <v>110</v>
      </c>
      <c r="E141">
        <v>164</v>
      </c>
      <c r="F141">
        <v>84.2</v>
      </c>
      <c r="G141">
        <v>42</v>
      </c>
      <c r="H141">
        <v>4</v>
      </c>
      <c r="I141">
        <v>5.2416999999999998</v>
      </c>
      <c r="J141">
        <v>90</v>
      </c>
      <c r="K141">
        <v>281</v>
      </c>
    </row>
    <row r="142" spans="1:11" x14ac:dyDescent="0.25">
      <c r="A142">
        <v>60</v>
      </c>
      <c r="B142">
        <v>2</v>
      </c>
      <c r="C142">
        <v>27.7</v>
      </c>
      <c r="D142">
        <v>107</v>
      </c>
      <c r="E142">
        <v>167</v>
      </c>
      <c r="F142">
        <v>114.6</v>
      </c>
      <c r="G142">
        <v>38</v>
      </c>
      <c r="H142">
        <v>4</v>
      </c>
      <c r="I142">
        <v>4.2766999999999999</v>
      </c>
      <c r="J142">
        <v>95</v>
      </c>
      <c r="K142">
        <v>118</v>
      </c>
    </row>
    <row r="143" spans="1:11" x14ac:dyDescent="0.25">
      <c r="A143">
        <v>41</v>
      </c>
      <c r="B143">
        <v>1</v>
      </c>
      <c r="C143">
        <v>30.8</v>
      </c>
      <c r="D143">
        <v>81</v>
      </c>
      <c r="E143">
        <v>214</v>
      </c>
      <c r="F143">
        <v>152</v>
      </c>
      <c r="G143">
        <v>28</v>
      </c>
      <c r="H143">
        <v>7.6</v>
      </c>
      <c r="I143">
        <v>5.1357999999999997</v>
      </c>
      <c r="J143">
        <v>123</v>
      </c>
      <c r="K143">
        <v>317</v>
      </c>
    </row>
    <row r="144" spans="1:11" x14ac:dyDescent="0.25">
      <c r="A144">
        <v>60</v>
      </c>
      <c r="B144">
        <v>2</v>
      </c>
      <c r="C144">
        <v>27.5</v>
      </c>
      <c r="D144">
        <v>106</v>
      </c>
      <c r="E144">
        <v>229</v>
      </c>
      <c r="F144">
        <v>143.80000000000001</v>
      </c>
      <c r="G144">
        <v>51</v>
      </c>
      <c r="H144">
        <v>4</v>
      </c>
      <c r="I144">
        <v>5.1417000000000002</v>
      </c>
      <c r="J144">
        <v>91</v>
      </c>
      <c r="K144">
        <v>235</v>
      </c>
    </row>
    <row r="145" spans="1:11" x14ac:dyDescent="0.25">
      <c r="A145">
        <v>40</v>
      </c>
      <c r="B145">
        <v>1</v>
      </c>
      <c r="C145">
        <v>26.9</v>
      </c>
      <c r="D145">
        <v>92</v>
      </c>
      <c r="E145">
        <v>203</v>
      </c>
      <c r="F145">
        <v>119.8</v>
      </c>
      <c r="G145">
        <v>70</v>
      </c>
      <c r="H145">
        <v>3</v>
      </c>
      <c r="I145">
        <v>4.1897000000000002</v>
      </c>
      <c r="J145">
        <v>81</v>
      </c>
      <c r="K145">
        <v>60</v>
      </c>
    </row>
    <row r="146" spans="1:11" x14ac:dyDescent="0.25">
      <c r="A146">
        <v>57</v>
      </c>
      <c r="B146">
        <v>2</v>
      </c>
      <c r="C146">
        <v>30.7</v>
      </c>
      <c r="D146">
        <v>90</v>
      </c>
      <c r="E146">
        <v>204</v>
      </c>
      <c r="F146">
        <v>147.80000000000001</v>
      </c>
      <c r="G146">
        <v>34</v>
      </c>
      <c r="H146">
        <v>6</v>
      </c>
      <c r="I146">
        <v>4.7095000000000002</v>
      </c>
      <c r="J146">
        <v>93</v>
      </c>
      <c r="K146">
        <v>174</v>
      </c>
    </row>
    <row r="147" spans="1:11" x14ac:dyDescent="0.25">
      <c r="A147">
        <v>37</v>
      </c>
      <c r="B147">
        <v>1</v>
      </c>
      <c r="C147">
        <v>38.299999999999997</v>
      </c>
      <c r="D147">
        <v>113</v>
      </c>
      <c r="E147">
        <v>165</v>
      </c>
      <c r="F147">
        <v>94.6</v>
      </c>
      <c r="G147">
        <v>53</v>
      </c>
      <c r="H147">
        <v>3</v>
      </c>
      <c r="I147">
        <v>4.4659000000000004</v>
      </c>
      <c r="J147">
        <v>79</v>
      </c>
      <c r="K147">
        <v>259</v>
      </c>
    </row>
    <row r="148" spans="1:11" x14ac:dyDescent="0.25">
      <c r="A148">
        <v>40</v>
      </c>
      <c r="B148">
        <v>2</v>
      </c>
      <c r="C148">
        <v>31.9</v>
      </c>
      <c r="D148">
        <v>95</v>
      </c>
      <c r="E148">
        <v>198</v>
      </c>
      <c r="F148">
        <v>135.6</v>
      </c>
      <c r="G148">
        <v>38</v>
      </c>
      <c r="H148">
        <v>5</v>
      </c>
      <c r="I148">
        <v>4.8040000000000003</v>
      </c>
      <c r="J148">
        <v>93</v>
      </c>
      <c r="K148">
        <v>178</v>
      </c>
    </row>
    <row r="149" spans="1:11" x14ac:dyDescent="0.25">
      <c r="A149">
        <v>33</v>
      </c>
      <c r="B149">
        <v>1</v>
      </c>
      <c r="C149">
        <v>35</v>
      </c>
      <c r="D149">
        <v>89</v>
      </c>
      <c r="E149">
        <v>200</v>
      </c>
      <c r="F149">
        <v>130.4</v>
      </c>
      <c r="G149">
        <v>42</v>
      </c>
      <c r="H149">
        <v>4.76</v>
      </c>
      <c r="I149">
        <v>4.9272999999999998</v>
      </c>
      <c r="J149">
        <v>101</v>
      </c>
      <c r="K149">
        <v>128</v>
      </c>
    </row>
    <row r="150" spans="1:11" x14ac:dyDescent="0.25">
      <c r="A150">
        <v>32</v>
      </c>
      <c r="B150">
        <v>2</v>
      </c>
      <c r="C150">
        <v>27.8</v>
      </c>
      <c r="D150">
        <v>89</v>
      </c>
      <c r="E150">
        <v>216</v>
      </c>
      <c r="F150">
        <v>146.19999999999999</v>
      </c>
      <c r="G150">
        <v>55</v>
      </c>
      <c r="H150">
        <v>4</v>
      </c>
      <c r="I150">
        <v>4.3041</v>
      </c>
      <c r="J150">
        <v>91</v>
      </c>
      <c r="K150">
        <v>96</v>
      </c>
    </row>
    <row r="151" spans="1:11" x14ac:dyDescent="0.25">
      <c r="A151">
        <v>35</v>
      </c>
      <c r="B151">
        <v>2</v>
      </c>
      <c r="C151">
        <v>25.9</v>
      </c>
      <c r="D151">
        <v>81</v>
      </c>
      <c r="E151">
        <v>174</v>
      </c>
      <c r="F151">
        <v>102.4</v>
      </c>
      <c r="G151">
        <v>31</v>
      </c>
      <c r="H151">
        <v>6</v>
      </c>
      <c r="I151">
        <v>5.3132000000000001</v>
      </c>
      <c r="J151">
        <v>82</v>
      </c>
      <c r="K151">
        <v>126</v>
      </c>
    </row>
    <row r="152" spans="1:11" x14ac:dyDescent="0.25">
      <c r="A152">
        <v>55</v>
      </c>
      <c r="B152">
        <v>1</v>
      </c>
      <c r="C152">
        <v>32.9</v>
      </c>
      <c r="D152">
        <v>102</v>
      </c>
      <c r="E152">
        <v>164</v>
      </c>
      <c r="F152">
        <v>106.2</v>
      </c>
      <c r="G152">
        <v>41</v>
      </c>
      <c r="H152">
        <v>4</v>
      </c>
      <c r="I152">
        <v>4.4307999999999996</v>
      </c>
      <c r="J152">
        <v>89</v>
      </c>
      <c r="K152">
        <v>288</v>
      </c>
    </row>
    <row r="153" spans="1:11" x14ac:dyDescent="0.25">
      <c r="A153">
        <v>49</v>
      </c>
      <c r="B153">
        <v>1</v>
      </c>
      <c r="C153">
        <v>26</v>
      </c>
      <c r="D153">
        <v>93</v>
      </c>
      <c r="E153">
        <v>183</v>
      </c>
      <c r="F153">
        <v>100.2</v>
      </c>
      <c r="G153">
        <v>64</v>
      </c>
      <c r="H153">
        <v>3</v>
      </c>
      <c r="I153">
        <v>4.5433000000000003</v>
      </c>
      <c r="J153">
        <v>88</v>
      </c>
      <c r="K153">
        <v>88</v>
      </c>
    </row>
    <row r="154" spans="1:11" x14ac:dyDescent="0.25">
      <c r="A154">
        <v>39</v>
      </c>
      <c r="B154">
        <v>2</v>
      </c>
      <c r="C154">
        <v>26.3</v>
      </c>
      <c r="D154">
        <v>115</v>
      </c>
      <c r="E154">
        <v>218</v>
      </c>
      <c r="F154">
        <v>158.19999999999999</v>
      </c>
      <c r="G154">
        <v>32</v>
      </c>
      <c r="H154">
        <v>7</v>
      </c>
      <c r="I154">
        <v>4.9344999999999999</v>
      </c>
      <c r="J154">
        <v>109</v>
      </c>
      <c r="K154">
        <v>292</v>
      </c>
    </row>
    <row r="155" spans="1:11" x14ac:dyDescent="0.25">
      <c r="A155">
        <v>60</v>
      </c>
      <c r="B155">
        <v>2</v>
      </c>
      <c r="C155">
        <v>22.3</v>
      </c>
      <c r="D155">
        <v>113</v>
      </c>
      <c r="E155">
        <v>186</v>
      </c>
      <c r="F155">
        <v>125.8</v>
      </c>
      <c r="G155">
        <v>46</v>
      </c>
      <c r="H155">
        <v>4</v>
      </c>
      <c r="I155">
        <v>4.2626999999999997</v>
      </c>
      <c r="J155">
        <v>94</v>
      </c>
      <c r="K155">
        <v>71</v>
      </c>
    </row>
    <row r="156" spans="1:11" x14ac:dyDescent="0.25">
      <c r="A156">
        <v>67</v>
      </c>
      <c r="B156">
        <v>2</v>
      </c>
      <c r="C156">
        <v>28.3</v>
      </c>
      <c r="D156">
        <v>93</v>
      </c>
      <c r="E156">
        <v>204</v>
      </c>
      <c r="F156">
        <v>132.19999999999999</v>
      </c>
      <c r="G156">
        <v>49</v>
      </c>
      <c r="H156">
        <v>4</v>
      </c>
      <c r="I156">
        <v>4.7362000000000002</v>
      </c>
      <c r="J156">
        <v>92</v>
      </c>
      <c r="K156">
        <v>197</v>
      </c>
    </row>
    <row r="157" spans="1:11" x14ac:dyDescent="0.25">
      <c r="A157">
        <v>41</v>
      </c>
      <c r="B157">
        <v>2</v>
      </c>
      <c r="C157">
        <v>32</v>
      </c>
      <c r="D157">
        <v>109</v>
      </c>
      <c r="E157">
        <v>251</v>
      </c>
      <c r="F157">
        <v>170.6</v>
      </c>
      <c r="G157">
        <v>49</v>
      </c>
      <c r="H157">
        <v>5</v>
      </c>
      <c r="I157">
        <v>5.0561999999999996</v>
      </c>
      <c r="J157">
        <v>103</v>
      </c>
      <c r="K157">
        <v>186</v>
      </c>
    </row>
    <row r="158" spans="1:11" x14ac:dyDescent="0.25">
      <c r="A158">
        <v>44</v>
      </c>
      <c r="B158">
        <v>1</v>
      </c>
      <c r="C158">
        <v>25.4</v>
      </c>
      <c r="D158">
        <v>95</v>
      </c>
      <c r="E158">
        <v>162</v>
      </c>
      <c r="F158">
        <v>92.6</v>
      </c>
      <c r="G158">
        <v>53</v>
      </c>
      <c r="H158">
        <v>3</v>
      </c>
      <c r="I158">
        <v>4.4066999999999998</v>
      </c>
      <c r="J158">
        <v>83</v>
      </c>
      <c r="K158">
        <v>25</v>
      </c>
    </row>
    <row r="159" spans="1:11" x14ac:dyDescent="0.25">
      <c r="A159">
        <v>48</v>
      </c>
      <c r="B159">
        <v>2</v>
      </c>
      <c r="C159">
        <v>23.3</v>
      </c>
      <c r="D159">
        <v>89.33</v>
      </c>
      <c r="E159">
        <v>212</v>
      </c>
      <c r="F159">
        <v>142.80000000000001</v>
      </c>
      <c r="G159">
        <v>46</v>
      </c>
      <c r="H159">
        <v>4.6100000000000003</v>
      </c>
      <c r="I159">
        <v>4.7535999999999996</v>
      </c>
      <c r="J159">
        <v>98</v>
      </c>
      <c r="K159">
        <v>84</v>
      </c>
    </row>
    <row r="160" spans="1:11" x14ac:dyDescent="0.25">
      <c r="A160">
        <v>45</v>
      </c>
      <c r="B160">
        <v>1</v>
      </c>
      <c r="C160">
        <v>20.3</v>
      </c>
      <c r="D160">
        <v>74.33</v>
      </c>
      <c r="E160">
        <v>190</v>
      </c>
      <c r="F160">
        <v>126.2</v>
      </c>
      <c r="G160">
        <v>49</v>
      </c>
      <c r="H160">
        <v>3.88</v>
      </c>
      <c r="I160">
        <v>4.3041</v>
      </c>
      <c r="J160">
        <v>79</v>
      </c>
      <c r="K160">
        <v>96</v>
      </c>
    </row>
    <row r="161" spans="1:11" x14ac:dyDescent="0.25">
      <c r="A161">
        <v>47</v>
      </c>
      <c r="B161">
        <v>1</v>
      </c>
      <c r="C161">
        <v>30.4</v>
      </c>
      <c r="D161">
        <v>120</v>
      </c>
      <c r="E161">
        <v>199</v>
      </c>
      <c r="F161">
        <v>120</v>
      </c>
      <c r="G161">
        <v>46</v>
      </c>
      <c r="H161">
        <v>4</v>
      </c>
      <c r="I161">
        <v>5.1059000000000001</v>
      </c>
      <c r="J161">
        <v>87</v>
      </c>
      <c r="K161">
        <v>195</v>
      </c>
    </row>
    <row r="162" spans="1:11" x14ac:dyDescent="0.25">
      <c r="A162">
        <v>46</v>
      </c>
      <c r="B162">
        <v>1</v>
      </c>
      <c r="C162">
        <v>20.6</v>
      </c>
      <c r="D162">
        <v>73</v>
      </c>
      <c r="E162">
        <v>172</v>
      </c>
      <c r="F162">
        <v>107</v>
      </c>
      <c r="G162">
        <v>51</v>
      </c>
      <c r="H162">
        <v>3</v>
      </c>
      <c r="I162">
        <v>4.2484999999999999</v>
      </c>
      <c r="J162">
        <v>80</v>
      </c>
      <c r="K162">
        <v>53</v>
      </c>
    </row>
    <row r="163" spans="1:11" x14ac:dyDescent="0.25">
      <c r="A163">
        <v>36</v>
      </c>
      <c r="B163">
        <v>2</v>
      </c>
      <c r="C163">
        <v>32.299999999999997</v>
      </c>
      <c r="D163">
        <v>115</v>
      </c>
      <c r="E163">
        <v>286</v>
      </c>
      <c r="F163">
        <v>199.4</v>
      </c>
      <c r="G163">
        <v>39</v>
      </c>
      <c r="H163">
        <v>7</v>
      </c>
      <c r="I163">
        <v>5.4722999999999997</v>
      </c>
      <c r="J163">
        <v>112</v>
      </c>
      <c r="K163">
        <v>217</v>
      </c>
    </row>
    <row r="164" spans="1:11" x14ac:dyDescent="0.25">
      <c r="A164">
        <v>34</v>
      </c>
      <c r="B164">
        <v>1</v>
      </c>
      <c r="C164">
        <v>29.2</v>
      </c>
      <c r="D164">
        <v>73</v>
      </c>
      <c r="E164">
        <v>172</v>
      </c>
      <c r="F164">
        <v>108.2</v>
      </c>
      <c r="G164">
        <v>49</v>
      </c>
      <c r="H164">
        <v>4</v>
      </c>
      <c r="I164">
        <v>4.3041</v>
      </c>
      <c r="J164">
        <v>91</v>
      </c>
      <c r="K164">
        <v>172</v>
      </c>
    </row>
    <row r="165" spans="1:11" x14ac:dyDescent="0.25">
      <c r="A165">
        <v>53</v>
      </c>
      <c r="B165">
        <v>2</v>
      </c>
      <c r="C165">
        <v>33.1</v>
      </c>
      <c r="D165">
        <v>117</v>
      </c>
      <c r="E165">
        <v>183</v>
      </c>
      <c r="F165">
        <v>119</v>
      </c>
      <c r="G165">
        <v>48</v>
      </c>
      <c r="H165">
        <v>4</v>
      </c>
      <c r="I165">
        <v>4.3819999999999997</v>
      </c>
      <c r="J165">
        <v>106</v>
      </c>
      <c r="K165">
        <v>131</v>
      </c>
    </row>
    <row r="166" spans="1:11" x14ac:dyDescent="0.25">
      <c r="A166">
        <v>61</v>
      </c>
      <c r="B166">
        <v>1</v>
      </c>
      <c r="C166">
        <v>24.6</v>
      </c>
      <c r="D166">
        <v>101</v>
      </c>
      <c r="E166">
        <v>209</v>
      </c>
      <c r="F166">
        <v>106.8</v>
      </c>
      <c r="G166">
        <v>77</v>
      </c>
      <c r="H166">
        <v>3</v>
      </c>
      <c r="I166">
        <v>4.8362999999999996</v>
      </c>
      <c r="J166">
        <v>88</v>
      </c>
      <c r="K166">
        <v>214</v>
      </c>
    </row>
    <row r="167" spans="1:11" x14ac:dyDescent="0.25">
      <c r="A167">
        <v>37</v>
      </c>
      <c r="B167">
        <v>1</v>
      </c>
      <c r="C167">
        <v>20.2</v>
      </c>
      <c r="D167">
        <v>81</v>
      </c>
      <c r="E167">
        <v>162</v>
      </c>
      <c r="F167">
        <v>87.8</v>
      </c>
      <c r="G167">
        <v>63</v>
      </c>
      <c r="H167">
        <v>3</v>
      </c>
      <c r="I167">
        <v>4.0254000000000003</v>
      </c>
      <c r="J167">
        <v>88</v>
      </c>
      <c r="K167">
        <v>59</v>
      </c>
    </row>
    <row r="168" spans="1:11" x14ac:dyDescent="0.25">
      <c r="A168">
        <v>33</v>
      </c>
      <c r="B168">
        <v>2</v>
      </c>
      <c r="C168">
        <v>20.8</v>
      </c>
      <c r="D168">
        <v>84</v>
      </c>
      <c r="E168">
        <v>125</v>
      </c>
      <c r="F168">
        <v>70.2</v>
      </c>
      <c r="G168">
        <v>46</v>
      </c>
      <c r="H168">
        <v>3</v>
      </c>
      <c r="I168">
        <v>3.7841999999999998</v>
      </c>
      <c r="J168">
        <v>66</v>
      </c>
      <c r="K168">
        <v>70</v>
      </c>
    </row>
    <row r="169" spans="1:11" x14ac:dyDescent="0.25">
      <c r="A169">
        <v>68</v>
      </c>
      <c r="B169">
        <v>1</v>
      </c>
      <c r="C169">
        <v>32.799999999999997</v>
      </c>
      <c r="D169">
        <v>105.67</v>
      </c>
      <c r="E169">
        <v>205</v>
      </c>
      <c r="F169">
        <v>116.4</v>
      </c>
      <c r="G169">
        <v>40</v>
      </c>
      <c r="H169">
        <v>5.13</v>
      </c>
      <c r="I169">
        <v>5.4931000000000001</v>
      </c>
      <c r="J169">
        <v>117</v>
      </c>
      <c r="K169">
        <v>220</v>
      </c>
    </row>
    <row r="170" spans="1:11" x14ac:dyDescent="0.25">
      <c r="A170">
        <v>49</v>
      </c>
      <c r="B170">
        <v>2</v>
      </c>
      <c r="C170">
        <v>31.9</v>
      </c>
      <c r="D170">
        <v>94</v>
      </c>
      <c r="E170">
        <v>234</v>
      </c>
      <c r="F170">
        <v>155.80000000000001</v>
      </c>
      <c r="G170">
        <v>34</v>
      </c>
      <c r="H170">
        <v>7</v>
      </c>
      <c r="I170">
        <v>5.3982000000000001</v>
      </c>
      <c r="J170">
        <v>122</v>
      </c>
      <c r="K170">
        <v>268</v>
      </c>
    </row>
    <row r="171" spans="1:11" x14ac:dyDescent="0.25">
      <c r="A171">
        <v>48</v>
      </c>
      <c r="B171">
        <v>1</v>
      </c>
      <c r="C171">
        <v>23.9</v>
      </c>
      <c r="D171">
        <v>109</v>
      </c>
      <c r="E171">
        <v>232</v>
      </c>
      <c r="F171">
        <v>105.2</v>
      </c>
      <c r="G171">
        <v>37</v>
      </c>
      <c r="H171">
        <v>6</v>
      </c>
      <c r="I171">
        <v>6.1070000000000002</v>
      </c>
      <c r="J171">
        <v>96</v>
      </c>
      <c r="K171">
        <v>152</v>
      </c>
    </row>
    <row r="172" spans="1:11" x14ac:dyDescent="0.25">
      <c r="A172">
        <v>55</v>
      </c>
      <c r="B172">
        <v>2</v>
      </c>
      <c r="C172">
        <v>24.5</v>
      </c>
      <c r="D172">
        <v>84</v>
      </c>
      <c r="E172">
        <v>179</v>
      </c>
      <c r="F172">
        <v>105.8</v>
      </c>
      <c r="G172">
        <v>66</v>
      </c>
      <c r="H172">
        <v>3</v>
      </c>
      <c r="I172">
        <v>3.5834999999999999</v>
      </c>
      <c r="J172">
        <v>87</v>
      </c>
      <c r="K172">
        <v>47</v>
      </c>
    </row>
    <row r="173" spans="1:11" x14ac:dyDescent="0.25">
      <c r="A173">
        <v>43</v>
      </c>
      <c r="B173">
        <v>1</v>
      </c>
      <c r="C173">
        <v>22.1</v>
      </c>
      <c r="D173">
        <v>66</v>
      </c>
      <c r="E173">
        <v>134</v>
      </c>
      <c r="F173">
        <v>77.2</v>
      </c>
      <c r="G173">
        <v>45</v>
      </c>
      <c r="H173">
        <v>3</v>
      </c>
      <c r="I173">
        <v>4.0774999999999997</v>
      </c>
      <c r="J173">
        <v>80</v>
      </c>
      <c r="K173">
        <v>74</v>
      </c>
    </row>
    <row r="174" spans="1:11" x14ac:dyDescent="0.25">
      <c r="A174">
        <v>60</v>
      </c>
      <c r="B174">
        <v>2</v>
      </c>
      <c r="C174">
        <v>33</v>
      </c>
      <c r="D174">
        <v>97</v>
      </c>
      <c r="E174">
        <v>217</v>
      </c>
      <c r="F174">
        <v>125.6</v>
      </c>
      <c r="G174">
        <v>45</v>
      </c>
      <c r="H174">
        <v>5</v>
      </c>
      <c r="I174">
        <v>5.4466999999999999</v>
      </c>
      <c r="J174">
        <v>112</v>
      </c>
      <c r="K174">
        <v>295</v>
      </c>
    </row>
    <row r="175" spans="1:11" x14ac:dyDescent="0.25">
      <c r="A175">
        <v>31</v>
      </c>
      <c r="B175">
        <v>2</v>
      </c>
      <c r="C175">
        <v>19</v>
      </c>
      <c r="D175">
        <v>93</v>
      </c>
      <c r="E175">
        <v>137</v>
      </c>
      <c r="F175">
        <v>73</v>
      </c>
      <c r="G175">
        <v>47</v>
      </c>
      <c r="H175">
        <v>3</v>
      </c>
      <c r="I175">
        <v>4.4427000000000003</v>
      </c>
      <c r="J175">
        <v>78</v>
      </c>
      <c r="K175">
        <v>101</v>
      </c>
    </row>
    <row r="176" spans="1:11" x14ac:dyDescent="0.25">
      <c r="A176">
        <v>53</v>
      </c>
      <c r="B176">
        <v>2</v>
      </c>
      <c r="C176">
        <v>27.3</v>
      </c>
      <c r="D176">
        <v>82</v>
      </c>
      <c r="E176">
        <v>119</v>
      </c>
      <c r="F176">
        <v>55</v>
      </c>
      <c r="G176">
        <v>39</v>
      </c>
      <c r="H176">
        <v>3</v>
      </c>
      <c r="I176">
        <v>4.8282999999999996</v>
      </c>
      <c r="J176">
        <v>93</v>
      </c>
      <c r="K176">
        <v>151</v>
      </c>
    </row>
    <row r="177" spans="1:11" x14ac:dyDescent="0.25">
      <c r="A177">
        <v>67</v>
      </c>
      <c r="B177">
        <v>1</v>
      </c>
      <c r="C177">
        <v>22.8</v>
      </c>
      <c r="D177">
        <v>87</v>
      </c>
      <c r="E177">
        <v>166</v>
      </c>
      <c r="F177">
        <v>98.6</v>
      </c>
      <c r="G177">
        <v>52</v>
      </c>
      <c r="H177">
        <v>3</v>
      </c>
      <c r="I177">
        <v>4.3437999999999999</v>
      </c>
      <c r="J177">
        <v>92</v>
      </c>
      <c r="K177">
        <v>127</v>
      </c>
    </row>
    <row r="178" spans="1:11" x14ac:dyDescent="0.25">
      <c r="A178">
        <v>61</v>
      </c>
      <c r="B178">
        <v>2</v>
      </c>
      <c r="C178">
        <v>28.2</v>
      </c>
      <c r="D178">
        <v>106</v>
      </c>
      <c r="E178">
        <v>204</v>
      </c>
      <c r="F178">
        <v>132</v>
      </c>
      <c r="G178">
        <v>52</v>
      </c>
      <c r="H178">
        <v>4</v>
      </c>
      <c r="I178">
        <v>4.6052</v>
      </c>
      <c r="J178">
        <v>96</v>
      </c>
      <c r="K178">
        <v>237</v>
      </c>
    </row>
    <row r="179" spans="1:11" x14ac:dyDescent="0.25">
      <c r="A179">
        <v>62</v>
      </c>
      <c r="B179">
        <v>1</v>
      </c>
      <c r="C179">
        <v>28.9</v>
      </c>
      <c r="D179">
        <v>87.33</v>
      </c>
      <c r="E179">
        <v>206</v>
      </c>
      <c r="F179">
        <v>127.2</v>
      </c>
      <c r="G179">
        <v>33</v>
      </c>
      <c r="H179">
        <v>6.24</v>
      </c>
      <c r="I179">
        <v>5.4337</v>
      </c>
      <c r="J179">
        <v>99</v>
      </c>
      <c r="K179">
        <v>225</v>
      </c>
    </row>
    <row r="180" spans="1:11" x14ac:dyDescent="0.25">
      <c r="A180">
        <v>60</v>
      </c>
      <c r="B180">
        <v>1</v>
      </c>
      <c r="C180">
        <v>25.6</v>
      </c>
      <c r="D180">
        <v>87</v>
      </c>
      <c r="E180">
        <v>207</v>
      </c>
      <c r="F180">
        <v>125.8</v>
      </c>
      <c r="G180">
        <v>69</v>
      </c>
      <c r="H180">
        <v>3</v>
      </c>
      <c r="I180">
        <v>4.1109</v>
      </c>
      <c r="J180">
        <v>84</v>
      </c>
      <c r="K180">
        <v>81</v>
      </c>
    </row>
    <row r="181" spans="1:11" x14ac:dyDescent="0.25">
      <c r="A181">
        <v>42</v>
      </c>
      <c r="B181">
        <v>1</v>
      </c>
      <c r="C181">
        <v>24.9</v>
      </c>
      <c r="D181">
        <v>91</v>
      </c>
      <c r="E181">
        <v>204</v>
      </c>
      <c r="F181">
        <v>141.80000000000001</v>
      </c>
      <c r="G181">
        <v>38</v>
      </c>
      <c r="H181">
        <v>5</v>
      </c>
      <c r="I181">
        <v>4.7957999999999998</v>
      </c>
      <c r="J181">
        <v>89</v>
      </c>
      <c r="K181">
        <v>151</v>
      </c>
    </row>
    <row r="182" spans="1:11" x14ac:dyDescent="0.25">
      <c r="A182">
        <v>38</v>
      </c>
      <c r="B182">
        <v>2</v>
      </c>
      <c r="C182">
        <v>26.8</v>
      </c>
      <c r="D182">
        <v>105</v>
      </c>
      <c r="E182">
        <v>181</v>
      </c>
      <c r="F182">
        <v>119.2</v>
      </c>
      <c r="G182">
        <v>37</v>
      </c>
      <c r="H182">
        <v>5</v>
      </c>
      <c r="I182">
        <v>4.8202999999999996</v>
      </c>
      <c r="J182">
        <v>91</v>
      </c>
      <c r="K182">
        <v>107</v>
      </c>
    </row>
    <row r="183" spans="1:11" x14ac:dyDescent="0.25">
      <c r="A183">
        <v>62</v>
      </c>
      <c r="B183">
        <v>1</v>
      </c>
      <c r="C183">
        <v>22.4</v>
      </c>
      <c r="D183">
        <v>79</v>
      </c>
      <c r="E183">
        <v>222</v>
      </c>
      <c r="F183">
        <v>147.4</v>
      </c>
      <c r="G183">
        <v>59</v>
      </c>
      <c r="H183">
        <v>4</v>
      </c>
      <c r="I183">
        <v>4.3567</v>
      </c>
      <c r="J183">
        <v>76</v>
      </c>
      <c r="K183">
        <v>64</v>
      </c>
    </row>
    <row r="184" spans="1:11" x14ac:dyDescent="0.25">
      <c r="A184">
        <v>61</v>
      </c>
      <c r="B184">
        <v>2</v>
      </c>
      <c r="C184">
        <v>26.9</v>
      </c>
      <c r="D184">
        <v>111</v>
      </c>
      <c r="E184">
        <v>236</v>
      </c>
      <c r="F184">
        <v>172.4</v>
      </c>
      <c r="G184">
        <v>39</v>
      </c>
      <c r="H184">
        <v>6</v>
      </c>
      <c r="I184">
        <v>4.8121999999999998</v>
      </c>
      <c r="J184">
        <v>89</v>
      </c>
      <c r="K184">
        <v>138</v>
      </c>
    </row>
    <row r="185" spans="1:11" x14ac:dyDescent="0.25">
      <c r="A185">
        <v>61</v>
      </c>
      <c r="B185">
        <v>2</v>
      </c>
      <c r="C185">
        <v>23.1</v>
      </c>
      <c r="D185">
        <v>113</v>
      </c>
      <c r="E185">
        <v>186</v>
      </c>
      <c r="F185">
        <v>114.4</v>
      </c>
      <c r="G185">
        <v>47</v>
      </c>
      <c r="H185">
        <v>4</v>
      </c>
      <c r="I185">
        <v>4.8121999999999998</v>
      </c>
      <c r="J185">
        <v>105</v>
      </c>
      <c r="K185">
        <v>185</v>
      </c>
    </row>
    <row r="186" spans="1:11" x14ac:dyDescent="0.25">
      <c r="A186">
        <v>53</v>
      </c>
      <c r="B186">
        <v>1</v>
      </c>
      <c r="C186">
        <v>28.6</v>
      </c>
      <c r="D186">
        <v>88</v>
      </c>
      <c r="E186">
        <v>171</v>
      </c>
      <c r="F186">
        <v>98.8</v>
      </c>
      <c r="G186">
        <v>41</v>
      </c>
      <c r="H186">
        <v>4</v>
      </c>
      <c r="I186">
        <v>5.0499000000000001</v>
      </c>
      <c r="J186">
        <v>99</v>
      </c>
      <c r="K186">
        <v>265</v>
      </c>
    </row>
    <row r="187" spans="1:11" x14ac:dyDescent="0.25">
      <c r="A187">
        <v>28</v>
      </c>
      <c r="B187">
        <v>2</v>
      </c>
      <c r="C187">
        <v>24.7</v>
      </c>
      <c r="D187">
        <v>97</v>
      </c>
      <c r="E187">
        <v>175</v>
      </c>
      <c r="F187">
        <v>99.6</v>
      </c>
      <c r="G187">
        <v>32</v>
      </c>
      <c r="H187">
        <v>5</v>
      </c>
      <c r="I187">
        <v>5.3799000000000001</v>
      </c>
      <c r="J187">
        <v>87</v>
      </c>
      <c r="K187">
        <v>101</v>
      </c>
    </row>
    <row r="188" spans="1:11" x14ac:dyDescent="0.25">
      <c r="A188">
        <v>26</v>
      </c>
      <c r="B188">
        <v>2</v>
      </c>
      <c r="C188">
        <v>30.3</v>
      </c>
      <c r="D188">
        <v>89</v>
      </c>
      <c r="E188">
        <v>218</v>
      </c>
      <c r="F188">
        <v>152.19999999999999</v>
      </c>
      <c r="G188">
        <v>31</v>
      </c>
      <c r="H188">
        <v>7</v>
      </c>
      <c r="I188">
        <v>5.1590999999999996</v>
      </c>
      <c r="J188">
        <v>82</v>
      </c>
      <c r="K188">
        <v>137</v>
      </c>
    </row>
    <row r="189" spans="1:11" x14ac:dyDescent="0.25">
      <c r="A189">
        <v>30</v>
      </c>
      <c r="B189">
        <v>1</v>
      </c>
      <c r="C189">
        <v>21.3</v>
      </c>
      <c r="D189">
        <v>87</v>
      </c>
      <c r="E189">
        <v>134</v>
      </c>
      <c r="F189">
        <v>63</v>
      </c>
      <c r="G189">
        <v>63</v>
      </c>
      <c r="H189">
        <v>2</v>
      </c>
      <c r="I189">
        <v>3.6888999999999998</v>
      </c>
      <c r="J189">
        <v>66</v>
      </c>
      <c r="K189">
        <v>143</v>
      </c>
    </row>
    <row r="190" spans="1:11" x14ac:dyDescent="0.25">
      <c r="A190">
        <v>50</v>
      </c>
      <c r="B190">
        <v>1</v>
      </c>
      <c r="C190">
        <v>26.1</v>
      </c>
      <c r="D190">
        <v>109</v>
      </c>
      <c r="E190">
        <v>243</v>
      </c>
      <c r="F190">
        <v>160.6</v>
      </c>
      <c r="G190">
        <v>62</v>
      </c>
      <c r="H190">
        <v>4</v>
      </c>
      <c r="I190">
        <v>4.625</v>
      </c>
      <c r="J190">
        <v>89</v>
      </c>
      <c r="K190">
        <v>141</v>
      </c>
    </row>
    <row r="191" spans="1:11" x14ac:dyDescent="0.25">
      <c r="A191">
        <v>48</v>
      </c>
      <c r="B191">
        <v>1</v>
      </c>
      <c r="C191">
        <v>20.2</v>
      </c>
      <c r="D191">
        <v>95</v>
      </c>
      <c r="E191">
        <v>187</v>
      </c>
      <c r="F191">
        <v>117.4</v>
      </c>
      <c r="G191">
        <v>53</v>
      </c>
      <c r="H191">
        <v>4</v>
      </c>
      <c r="I191">
        <v>4.4188000000000001</v>
      </c>
      <c r="J191">
        <v>85</v>
      </c>
      <c r="K191">
        <v>79</v>
      </c>
    </row>
    <row r="192" spans="1:11" x14ac:dyDescent="0.25">
      <c r="A192">
        <v>51</v>
      </c>
      <c r="B192">
        <v>1</v>
      </c>
      <c r="C192">
        <v>25.2</v>
      </c>
      <c r="D192">
        <v>103</v>
      </c>
      <c r="E192">
        <v>176</v>
      </c>
      <c r="F192">
        <v>112.2</v>
      </c>
      <c r="G192">
        <v>37</v>
      </c>
      <c r="H192">
        <v>5</v>
      </c>
      <c r="I192">
        <v>4.8978000000000002</v>
      </c>
      <c r="J192">
        <v>90</v>
      </c>
      <c r="K192">
        <v>292</v>
      </c>
    </row>
    <row r="193" spans="1:11" x14ac:dyDescent="0.25">
      <c r="A193">
        <v>47</v>
      </c>
      <c r="B193">
        <v>2</v>
      </c>
      <c r="C193">
        <v>22.5</v>
      </c>
      <c r="D193">
        <v>82</v>
      </c>
      <c r="E193">
        <v>131</v>
      </c>
      <c r="F193">
        <v>66.8</v>
      </c>
      <c r="G193">
        <v>41</v>
      </c>
      <c r="H193">
        <v>3</v>
      </c>
      <c r="I193">
        <v>4.7535999999999996</v>
      </c>
      <c r="J193">
        <v>89</v>
      </c>
      <c r="K193">
        <v>178</v>
      </c>
    </row>
    <row r="194" spans="1:11" x14ac:dyDescent="0.25">
      <c r="A194">
        <v>64</v>
      </c>
      <c r="B194">
        <v>2</v>
      </c>
      <c r="C194">
        <v>23.5</v>
      </c>
      <c r="D194">
        <v>97</v>
      </c>
      <c r="E194">
        <v>203</v>
      </c>
      <c r="F194">
        <v>129</v>
      </c>
      <c r="G194">
        <v>59</v>
      </c>
      <c r="H194">
        <v>3</v>
      </c>
      <c r="I194">
        <v>4.3174999999999999</v>
      </c>
      <c r="J194">
        <v>77</v>
      </c>
      <c r="K194">
        <v>91</v>
      </c>
    </row>
    <row r="195" spans="1:11" x14ac:dyDescent="0.25">
      <c r="A195">
        <v>51</v>
      </c>
      <c r="B195">
        <v>2</v>
      </c>
      <c r="C195">
        <v>25.9</v>
      </c>
      <c r="D195">
        <v>76</v>
      </c>
      <c r="E195">
        <v>240</v>
      </c>
      <c r="F195">
        <v>169</v>
      </c>
      <c r="G195">
        <v>39</v>
      </c>
      <c r="H195">
        <v>6</v>
      </c>
      <c r="I195">
        <v>5.0751999999999997</v>
      </c>
      <c r="J195">
        <v>96</v>
      </c>
      <c r="K195">
        <v>116</v>
      </c>
    </row>
    <row r="196" spans="1:11" x14ac:dyDescent="0.25">
      <c r="A196">
        <v>30</v>
      </c>
      <c r="B196">
        <v>1</v>
      </c>
      <c r="C196">
        <v>20.9</v>
      </c>
      <c r="D196">
        <v>104</v>
      </c>
      <c r="E196">
        <v>152</v>
      </c>
      <c r="F196">
        <v>83.8</v>
      </c>
      <c r="G196">
        <v>47</v>
      </c>
      <c r="H196">
        <v>3</v>
      </c>
      <c r="I196">
        <v>4.6634000000000002</v>
      </c>
      <c r="J196">
        <v>97</v>
      </c>
      <c r="K196">
        <v>86</v>
      </c>
    </row>
    <row r="197" spans="1:11" x14ac:dyDescent="0.25">
      <c r="A197">
        <v>56</v>
      </c>
      <c r="B197">
        <v>2</v>
      </c>
      <c r="C197">
        <v>28.7</v>
      </c>
      <c r="D197">
        <v>99</v>
      </c>
      <c r="E197">
        <v>208</v>
      </c>
      <c r="F197">
        <v>146.4</v>
      </c>
      <c r="G197">
        <v>39</v>
      </c>
      <c r="H197">
        <v>5</v>
      </c>
      <c r="I197">
        <v>4.7274000000000003</v>
      </c>
      <c r="J197">
        <v>97</v>
      </c>
      <c r="K197">
        <v>122</v>
      </c>
    </row>
    <row r="198" spans="1:11" x14ac:dyDescent="0.25">
      <c r="A198">
        <v>42</v>
      </c>
      <c r="B198">
        <v>1</v>
      </c>
      <c r="C198">
        <v>22.1</v>
      </c>
      <c r="D198">
        <v>85</v>
      </c>
      <c r="E198">
        <v>213</v>
      </c>
      <c r="F198">
        <v>138.6</v>
      </c>
      <c r="G198">
        <v>60</v>
      </c>
      <c r="H198">
        <v>4</v>
      </c>
      <c r="I198">
        <v>4.2766999999999999</v>
      </c>
      <c r="J198">
        <v>94</v>
      </c>
      <c r="K198">
        <v>72</v>
      </c>
    </row>
    <row r="199" spans="1:11" x14ac:dyDescent="0.25">
      <c r="A199">
        <v>62</v>
      </c>
      <c r="B199">
        <v>2</v>
      </c>
      <c r="C199">
        <v>26.7</v>
      </c>
      <c r="D199">
        <v>115</v>
      </c>
      <c r="E199">
        <v>183</v>
      </c>
      <c r="F199">
        <v>124</v>
      </c>
      <c r="G199">
        <v>35</v>
      </c>
      <c r="H199">
        <v>5</v>
      </c>
      <c r="I199">
        <v>4.7874999999999996</v>
      </c>
      <c r="J199">
        <v>100</v>
      </c>
      <c r="K199">
        <v>129</v>
      </c>
    </row>
    <row r="200" spans="1:11" x14ac:dyDescent="0.25">
      <c r="A200">
        <v>34</v>
      </c>
      <c r="B200">
        <v>1</v>
      </c>
      <c r="C200">
        <v>31.4</v>
      </c>
      <c r="D200">
        <v>87</v>
      </c>
      <c r="E200">
        <v>149</v>
      </c>
      <c r="F200">
        <v>93.8</v>
      </c>
      <c r="G200">
        <v>46</v>
      </c>
      <c r="H200">
        <v>3</v>
      </c>
      <c r="I200">
        <v>3.8285999999999998</v>
      </c>
      <c r="J200">
        <v>77</v>
      </c>
      <c r="K200">
        <v>142</v>
      </c>
    </row>
    <row r="201" spans="1:11" x14ac:dyDescent="0.25">
      <c r="A201">
        <v>60</v>
      </c>
      <c r="B201">
        <v>1</v>
      </c>
      <c r="C201">
        <v>22.2</v>
      </c>
      <c r="D201">
        <v>104.67</v>
      </c>
      <c r="E201">
        <v>221</v>
      </c>
      <c r="F201">
        <v>105.4</v>
      </c>
      <c r="G201">
        <v>60</v>
      </c>
      <c r="H201">
        <v>3.68</v>
      </c>
      <c r="I201">
        <v>5.6276000000000002</v>
      </c>
      <c r="J201">
        <v>93</v>
      </c>
      <c r="K201">
        <v>90</v>
      </c>
    </row>
    <row r="202" spans="1:11" x14ac:dyDescent="0.25">
      <c r="A202">
        <v>64</v>
      </c>
      <c r="B202">
        <v>1</v>
      </c>
      <c r="C202">
        <v>21</v>
      </c>
      <c r="D202">
        <v>92.33</v>
      </c>
      <c r="E202">
        <v>227</v>
      </c>
      <c r="F202">
        <v>146.80000000000001</v>
      </c>
      <c r="G202">
        <v>65</v>
      </c>
      <c r="H202">
        <v>3.49</v>
      </c>
      <c r="I202">
        <v>4.3307000000000002</v>
      </c>
      <c r="J202">
        <v>102</v>
      </c>
      <c r="K202">
        <v>158</v>
      </c>
    </row>
    <row r="203" spans="1:11" x14ac:dyDescent="0.25">
      <c r="A203">
        <v>39</v>
      </c>
      <c r="B203">
        <v>2</v>
      </c>
      <c r="C203">
        <v>21.2</v>
      </c>
      <c r="D203">
        <v>90</v>
      </c>
      <c r="E203">
        <v>182</v>
      </c>
      <c r="F203">
        <v>110.4</v>
      </c>
      <c r="G203">
        <v>60</v>
      </c>
      <c r="H203">
        <v>3</v>
      </c>
      <c r="I203">
        <v>4.0603999999999996</v>
      </c>
      <c r="J203">
        <v>98</v>
      </c>
      <c r="K203">
        <v>39</v>
      </c>
    </row>
    <row r="204" spans="1:11" x14ac:dyDescent="0.25">
      <c r="A204">
        <v>71</v>
      </c>
      <c r="B204">
        <v>2</v>
      </c>
      <c r="C204">
        <v>26.5</v>
      </c>
      <c r="D204">
        <v>105</v>
      </c>
      <c r="E204">
        <v>281</v>
      </c>
      <c r="F204">
        <v>173.6</v>
      </c>
      <c r="G204">
        <v>55</v>
      </c>
      <c r="H204">
        <v>5</v>
      </c>
      <c r="I204">
        <v>5.5682999999999998</v>
      </c>
      <c r="J204">
        <v>84</v>
      </c>
      <c r="K204">
        <v>196</v>
      </c>
    </row>
    <row r="205" spans="1:11" x14ac:dyDescent="0.25">
      <c r="A205">
        <v>48</v>
      </c>
      <c r="B205">
        <v>2</v>
      </c>
      <c r="C205">
        <v>29.2</v>
      </c>
      <c r="D205">
        <v>110</v>
      </c>
      <c r="E205">
        <v>218</v>
      </c>
      <c r="F205">
        <v>151.6</v>
      </c>
      <c r="G205">
        <v>39</v>
      </c>
      <c r="H205">
        <v>6</v>
      </c>
      <c r="I205">
        <v>4.92</v>
      </c>
      <c r="J205">
        <v>98</v>
      </c>
      <c r="K205">
        <v>222</v>
      </c>
    </row>
    <row r="206" spans="1:11" x14ac:dyDescent="0.25">
      <c r="A206">
        <v>79</v>
      </c>
      <c r="B206">
        <v>2</v>
      </c>
      <c r="C206">
        <v>27</v>
      </c>
      <c r="D206">
        <v>103</v>
      </c>
      <c r="E206">
        <v>169</v>
      </c>
      <c r="F206">
        <v>110.8</v>
      </c>
      <c r="G206">
        <v>37</v>
      </c>
      <c r="H206">
        <v>5</v>
      </c>
      <c r="I206">
        <v>4.6634000000000002</v>
      </c>
      <c r="J206">
        <v>110</v>
      </c>
      <c r="K206">
        <v>277</v>
      </c>
    </row>
    <row r="207" spans="1:11" x14ac:dyDescent="0.25">
      <c r="A207">
        <v>40</v>
      </c>
      <c r="B207">
        <v>1</v>
      </c>
      <c r="C207">
        <v>30.7</v>
      </c>
      <c r="D207">
        <v>99</v>
      </c>
      <c r="E207">
        <v>177</v>
      </c>
      <c r="F207">
        <v>85.4</v>
      </c>
      <c r="G207">
        <v>50</v>
      </c>
      <c r="H207">
        <v>4</v>
      </c>
      <c r="I207">
        <v>5.3375000000000004</v>
      </c>
      <c r="J207">
        <v>85</v>
      </c>
      <c r="K207">
        <v>99</v>
      </c>
    </row>
    <row r="208" spans="1:11" x14ac:dyDescent="0.25">
      <c r="A208">
        <v>49</v>
      </c>
      <c r="B208">
        <v>2</v>
      </c>
      <c r="C208">
        <v>28.8</v>
      </c>
      <c r="D208">
        <v>92</v>
      </c>
      <c r="E208">
        <v>207</v>
      </c>
      <c r="F208">
        <v>140</v>
      </c>
      <c r="G208">
        <v>44</v>
      </c>
      <c r="H208">
        <v>5</v>
      </c>
      <c r="I208">
        <v>4.7449000000000003</v>
      </c>
      <c r="J208">
        <v>92</v>
      </c>
      <c r="K208">
        <v>196</v>
      </c>
    </row>
    <row r="209" spans="1:11" x14ac:dyDescent="0.25">
      <c r="A209">
        <v>51</v>
      </c>
      <c r="B209">
        <v>1</v>
      </c>
      <c r="C209">
        <v>30.6</v>
      </c>
      <c r="D209">
        <v>103</v>
      </c>
      <c r="E209">
        <v>198</v>
      </c>
      <c r="F209">
        <v>106.6</v>
      </c>
      <c r="G209">
        <v>57</v>
      </c>
      <c r="H209">
        <v>3</v>
      </c>
      <c r="I209">
        <v>5.1475</v>
      </c>
      <c r="J209">
        <v>100</v>
      </c>
      <c r="K209">
        <v>202</v>
      </c>
    </row>
    <row r="210" spans="1:11" x14ac:dyDescent="0.25">
      <c r="A210">
        <v>57</v>
      </c>
      <c r="B210">
        <v>1</v>
      </c>
      <c r="C210">
        <v>30.1</v>
      </c>
      <c r="D210">
        <v>117</v>
      </c>
      <c r="E210">
        <v>202</v>
      </c>
      <c r="F210">
        <v>139.6</v>
      </c>
      <c r="G210">
        <v>42</v>
      </c>
      <c r="H210">
        <v>5</v>
      </c>
      <c r="I210">
        <v>4.625</v>
      </c>
      <c r="J210">
        <v>120</v>
      </c>
      <c r="K210">
        <v>155</v>
      </c>
    </row>
    <row r="211" spans="1:11" x14ac:dyDescent="0.25">
      <c r="A211">
        <v>59</v>
      </c>
      <c r="B211">
        <v>2</v>
      </c>
      <c r="C211">
        <v>24.7</v>
      </c>
      <c r="D211">
        <v>114</v>
      </c>
      <c r="E211">
        <v>152</v>
      </c>
      <c r="F211">
        <v>104.8</v>
      </c>
      <c r="G211">
        <v>29</v>
      </c>
      <c r="H211">
        <v>5</v>
      </c>
      <c r="I211">
        <v>4.5109000000000004</v>
      </c>
      <c r="J211">
        <v>88</v>
      </c>
      <c r="K211">
        <v>77</v>
      </c>
    </row>
    <row r="212" spans="1:11" x14ac:dyDescent="0.25">
      <c r="A212">
        <v>51</v>
      </c>
      <c r="B212">
        <v>1</v>
      </c>
      <c r="C212">
        <v>27.7</v>
      </c>
      <c r="D212">
        <v>99</v>
      </c>
      <c r="E212">
        <v>229</v>
      </c>
      <c r="F212">
        <v>145.6</v>
      </c>
      <c r="G212">
        <v>69</v>
      </c>
      <c r="H212">
        <v>3</v>
      </c>
      <c r="I212">
        <v>4.2766999999999999</v>
      </c>
      <c r="J212">
        <v>77</v>
      </c>
      <c r="K212">
        <v>191</v>
      </c>
    </row>
    <row r="213" spans="1:11" x14ac:dyDescent="0.25">
      <c r="A213">
        <v>74</v>
      </c>
      <c r="B213">
        <v>1</v>
      </c>
      <c r="C213">
        <v>29.8</v>
      </c>
      <c r="D213">
        <v>101</v>
      </c>
      <c r="E213">
        <v>171</v>
      </c>
      <c r="F213">
        <v>104.8</v>
      </c>
      <c r="G213">
        <v>50</v>
      </c>
      <c r="H213">
        <v>3</v>
      </c>
      <c r="I213">
        <v>4.3944000000000001</v>
      </c>
      <c r="J213">
        <v>86</v>
      </c>
      <c r="K213">
        <v>70</v>
      </c>
    </row>
    <row r="214" spans="1:11" x14ac:dyDescent="0.25">
      <c r="A214">
        <v>67</v>
      </c>
      <c r="B214">
        <v>1</v>
      </c>
      <c r="C214">
        <v>26.7</v>
      </c>
      <c r="D214">
        <v>105</v>
      </c>
      <c r="E214">
        <v>225</v>
      </c>
      <c r="F214">
        <v>135.4</v>
      </c>
      <c r="G214">
        <v>69</v>
      </c>
      <c r="H214">
        <v>3</v>
      </c>
      <c r="I214">
        <v>4.6346999999999996</v>
      </c>
      <c r="J214">
        <v>96</v>
      </c>
      <c r="K214">
        <v>73</v>
      </c>
    </row>
    <row r="215" spans="1:11" x14ac:dyDescent="0.25">
      <c r="A215">
        <v>49</v>
      </c>
      <c r="B215">
        <v>1</v>
      </c>
      <c r="C215">
        <v>19.8</v>
      </c>
      <c r="D215">
        <v>88</v>
      </c>
      <c r="E215">
        <v>188</v>
      </c>
      <c r="F215">
        <v>114.8</v>
      </c>
      <c r="G215">
        <v>57</v>
      </c>
      <c r="H215">
        <v>3</v>
      </c>
      <c r="I215">
        <v>4.3944000000000001</v>
      </c>
      <c r="J215">
        <v>93</v>
      </c>
      <c r="K215">
        <v>49</v>
      </c>
    </row>
    <row r="216" spans="1:11" x14ac:dyDescent="0.25">
      <c r="A216">
        <v>57</v>
      </c>
      <c r="B216">
        <v>1</v>
      </c>
      <c r="C216">
        <v>23.3</v>
      </c>
      <c r="D216">
        <v>88</v>
      </c>
      <c r="E216">
        <v>155</v>
      </c>
      <c r="F216">
        <v>63.6</v>
      </c>
      <c r="G216">
        <v>78</v>
      </c>
      <c r="H216">
        <v>2</v>
      </c>
      <c r="I216">
        <v>4.2046999999999999</v>
      </c>
      <c r="J216">
        <v>78</v>
      </c>
      <c r="K216">
        <v>65</v>
      </c>
    </row>
    <row r="217" spans="1:11" x14ac:dyDescent="0.25">
      <c r="A217">
        <v>56</v>
      </c>
      <c r="B217">
        <v>2</v>
      </c>
      <c r="C217">
        <v>35.1</v>
      </c>
      <c r="D217">
        <v>123</v>
      </c>
      <c r="E217">
        <v>164</v>
      </c>
      <c r="F217">
        <v>95</v>
      </c>
      <c r="G217">
        <v>38</v>
      </c>
      <c r="H217">
        <v>4</v>
      </c>
      <c r="I217">
        <v>5.0434000000000001</v>
      </c>
      <c r="J217">
        <v>117</v>
      </c>
      <c r="K217">
        <v>263</v>
      </c>
    </row>
    <row r="218" spans="1:11" x14ac:dyDescent="0.25">
      <c r="A218">
        <v>52</v>
      </c>
      <c r="B218">
        <v>2</v>
      </c>
      <c r="C218">
        <v>29.7</v>
      </c>
      <c r="D218">
        <v>109</v>
      </c>
      <c r="E218">
        <v>228</v>
      </c>
      <c r="F218">
        <v>162.80000000000001</v>
      </c>
      <c r="G218">
        <v>31</v>
      </c>
      <c r="H218">
        <v>8</v>
      </c>
      <c r="I218">
        <v>5.1417000000000002</v>
      </c>
      <c r="J218">
        <v>103</v>
      </c>
      <c r="K218">
        <v>248</v>
      </c>
    </row>
    <row r="219" spans="1:11" x14ac:dyDescent="0.25">
      <c r="A219">
        <v>69</v>
      </c>
      <c r="B219">
        <v>1</v>
      </c>
      <c r="C219">
        <v>29.3</v>
      </c>
      <c r="D219">
        <v>124</v>
      </c>
      <c r="E219">
        <v>223</v>
      </c>
      <c r="F219">
        <v>139</v>
      </c>
      <c r="G219">
        <v>54</v>
      </c>
      <c r="H219">
        <v>4</v>
      </c>
      <c r="I219">
        <v>5.0106000000000002</v>
      </c>
      <c r="J219">
        <v>102</v>
      </c>
      <c r="K219">
        <v>296</v>
      </c>
    </row>
    <row r="220" spans="1:11" x14ac:dyDescent="0.25">
      <c r="A220">
        <v>37</v>
      </c>
      <c r="B220">
        <v>1</v>
      </c>
      <c r="C220">
        <v>20.3</v>
      </c>
      <c r="D220">
        <v>83</v>
      </c>
      <c r="E220">
        <v>185</v>
      </c>
      <c r="F220">
        <v>124.6</v>
      </c>
      <c r="G220">
        <v>38</v>
      </c>
      <c r="H220">
        <v>5</v>
      </c>
      <c r="I220">
        <v>4.7184999999999997</v>
      </c>
      <c r="J220">
        <v>88</v>
      </c>
      <c r="K220">
        <v>214</v>
      </c>
    </row>
    <row r="221" spans="1:11" x14ac:dyDescent="0.25">
      <c r="A221">
        <v>24</v>
      </c>
      <c r="B221">
        <v>1</v>
      </c>
      <c r="C221">
        <v>22.5</v>
      </c>
      <c r="D221">
        <v>89</v>
      </c>
      <c r="E221">
        <v>141</v>
      </c>
      <c r="F221">
        <v>68</v>
      </c>
      <c r="G221">
        <v>52</v>
      </c>
      <c r="H221">
        <v>3</v>
      </c>
      <c r="I221">
        <v>4.6539999999999999</v>
      </c>
      <c r="J221">
        <v>84</v>
      </c>
      <c r="K221">
        <v>185</v>
      </c>
    </row>
    <row r="222" spans="1:11" x14ac:dyDescent="0.25">
      <c r="A222">
        <v>55</v>
      </c>
      <c r="B222">
        <v>2</v>
      </c>
      <c r="C222">
        <v>22.7</v>
      </c>
      <c r="D222">
        <v>93</v>
      </c>
      <c r="E222">
        <v>154</v>
      </c>
      <c r="F222">
        <v>94.2</v>
      </c>
      <c r="G222">
        <v>53</v>
      </c>
      <c r="H222">
        <v>3</v>
      </c>
      <c r="I222">
        <v>3.5264000000000002</v>
      </c>
      <c r="J222">
        <v>75</v>
      </c>
      <c r="K222">
        <v>78</v>
      </c>
    </row>
    <row r="223" spans="1:11" x14ac:dyDescent="0.25">
      <c r="A223">
        <v>36</v>
      </c>
      <c r="B223">
        <v>1</v>
      </c>
      <c r="C223">
        <v>22.8</v>
      </c>
      <c r="D223">
        <v>87</v>
      </c>
      <c r="E223">
        <v>178</v>
      </c>
      <c r="F223">
        <v>116</v>
      </c>
      <c r="G223">
        <v>41</v>
      </c>
      <c r="H223">
        <v>4</v>
      </c>
      <c r="I223">
        <v>4.6539999999999999</v>
      </c>
      <c r="J223">
        <v>82</v>
      </c>
      <c r="K223">
        <v>93</v>
      </c>
    </row>
    <row r="224" spans="1:11" x14ac:dyDescent="0.25">
      <c r="A224">
        <v>42</v>
      </c>
      <c r="B224">
        <v>2</v>
      </c>
      <c r="C224">
        <v>24</v>
      </c>
      <c r="D224">
        <v>107</v>
      </c>
      <c r="E224">
        <v>150</v>
      </c>
      <c r="F224">
        <v>85</v>
      </c>
      <c r="G224">
        <v>44</v>
      </c>
      <c r="H224">
        <v>3</v>
      </c>
      <c r="I224">
        <v>4.6539999999999999</v>
      </c>
      <c r="J224">
        <v>96</v>
      </c>
      <c r="K224">
        <v>252</v>
      </c>
    </row>
    <row r="225" spans="1:11" x14ac:dyDescent="0.25">
      <c r="A225">
        <v>21</v>
      </c>
      <c r="B225">
        <v>1</v>
      </c>
      <c r="C225">
        <v>24.2</v>
      </c>
      <c r="D225">
        <v>76</v>
      </c>
      <c r="E225">
        <v>147</v>
      </c>
      <c r="F225">
        <v>77</v>
      </c>
      <c r="G225">
        <v>53</v>
      </c>
      <c r="H225">
        <v>3</v>
      </c>
      <c r="I225">
        <v>4.4427000000000003</v>
      </c>
      <c r="J225">
        <v>79</v>
      </c>
      <c r="K225">
        <v>150</v>
      </c>
    </row>
    <row r="226" spans="1:11" x14ac:dyDescent="0.25">
      <c r="A226">
        <v>41</v>
      </c>
      <c r="B226">
        <v>1</v>
      </c>
      <c r="C226">
        <v>20.2</v>
      </c>
      <c r="D226">
        <v>62</v>
      </c>
      <c r="E226">
        <v>153</v>
      </c>
      <c r="F226">
        <v>89</v>
      </c>
      <c r="G226">
        <v>50</v>
      </c>
      <c r="H226">
        <v>3</v>
      </c>
      <c r="I226">
        <v>4.2484999999999999</v>
      </c>
      <c r="J226">
        <v>89</v>
      </c>
      <c r="K226">
        <v>77</v>
      </c>
    </row>
    <row r="227" spans="1:11" x14ac:dyDescent="0.25">
      <c r="A227">
        <v>57</v>
      </c>
      <c r="B227">
        <v>2</v>
      </c>
      <c r="C227">
        <v>29.4</v>
      </c>
      <c r="D227">
        <v>109</v>
      </c>
      <c r="E227">
        <v>160</v>
      </c>
      <c r="F227">
        <v>87.6</v>
      </c>
      <c r="G227">
        <v>31</v>
      </c>
      <c r="H227">
        <v>5</v>
      </c>
      <c r="I227">
        <v>5.3327</v>
      </c>
      <c r="J227">
        <v>92</v>
      </c>
      <c r="K227">
        <v>208</v>
      </c>
    </row>
    <row r="228" spans="1:11" x14ac:dyDescent="0.25">
      <c r="A228">
        <v>20</v>
      </c>
      <c r="B228">
        <v>2</v>
      </c>
      <c r="C228">
        <v>22.1</v>
      </c>
      <c r="D228">
        <v>87</v>
      </c>
      <c r="E228">
        <v>171</v>
      </c>
      <c r="F228">
        <v>99.6</v>
      </c>
      <c r="G228">
        <v>58</v>
      </c>
      <c r="H228">
        <v>3</v>
      </c>
      <c r="I228">
        <v>4.2046999999999999</v>
      </c>
      <c r="J228">
        <v>78</v>
      </c>
      <c r="K228">
        <v>77</v>
      </c>
    </row>
    <row r="229" spans="1:11" x14ac:dyDescent="0.25">
      <c r="A229">
        <v>67</v>
      </c>
      <c r="B229">
        <v>2</v>
      </c>
      <c r="C229">
        <v>23.6</v>
      </c>
      <c r="D229">
        <v>111.33</v>
      </c>
      <c r="E229">
        <v>189</v>
      </c>
      <c r="F229">
        <v>105.4</v>
      </c>
      <c r="G229">
        <v>70</v>
      </c>
      <c r="H229">
        <v>2.7</v>
      </c>
      <c r="I229">
        <v>4.2195</v>
      </c>
      <c r="J229">
        <v>93</v>
      </c>
      <c r="K229">
        <v>108</v>
      </c>
    </row>
    <row r="230" spans="1:11" x14ac:dyDescent="0.25">
      <c r="A230">
        <v>34</v>
      </c>
      <c r="B230">
        <v>1</v>
      </c>
      <c r="C230">
        <v>25.2</v>
      </c>
      <c r="D230">
        <v>77</v>
      </c>
      <c r="E230">
        <v>189</v>
      </c>
      <c r="F230">
        <v>120.6</v>
      </c>
      <c r="G230">
        <v>53</v>
      </c>
      <c r="H230">
        <v>4</v>
      </c>
      <c r="I230">
        <v>4.3437999999999999</v>
      </c>
      <c r="J230">
        <v>79</v>
      </c>
      <c r="K230">
        <v>160</v>
      </c>
    </row>
    <row r="231" spans="1:11" x14ac:dyDescent="0.25">
      <c r="A231">
        <v>41</v>
      </c>
      <c r="B231">
        <v>2</v>
      </c>
      <c r="C231">
        <v>24.9</v>
      </c>
      <c r="D231">
        <v>86</v>
      </c>
      <c r="E231">
        <v>192</v>
      </c>
      <c r="F231">
        <v>115</v>
      </c>
      <c r="G231">
        <v>61</v>
      </c>
      <c r="H231">
        <v>3</v>
      </c>
      <c r="I231">
        <v>4.3819999999999997</v>
      </c>
      <c r="J231">
        <v>94</v>
      </c>
      <c r="K231">
        <v>53</v>
      </c>
    </row>
    <row r="232" spans="1:11" x14ac:dyDescent="0.25">
      <c r="A232">
        <v>38</v>
      </c>
      <c r="B232">
        <v>2</v>
      </c>
      <c r="C232">
        <v>33</v>
      </c>
      <c r="D232">
        <v>78</v>
      </c>
      <c r="E232">
        <v>301</v>
      </c>
      <c r="F232">
        <v>215</v>
      </c>
      <c r="G232">
        <v>50</v>
      </c>
      <c r="H232">
        <v>6.02</v>
      </c>
      <c r="I232">
        <v>5.1929999999999996</v>
      </c>
      <c r="J232">
        <v>108</v>
      </c>
      <c r="K232">
        <v>220</v>
      </c>
    </row>
    <row r="233" spans="1:11" x14ac:dyDescent="0.25">
      <c r="A233">
        <v>51</v>
      </c>
      <c r="B233">
        <v>1</v>
      </c>
      <c r="C233">
        <v>23.5</v>
      </c>
      <c r="D233">
        <v>101</v>
      </c>
      <c r="E233">
        <v>195</v>
      </c>
      <c r="F233">
        <v>121</v>
      </c>
      <c r="G233">
        <v>51</v>
      </c>
      <c r="H233">
        <v>4</v>
      </c>
      <c r="I233">
        <v>4.7449000000000003</v>
      </c>
      <c r="J233">
        <v>94</v>
      </c>
      <c r="K233">
        <v>154</v>
      </c>
    </row>
    <row r="234" spans="1:11" x14ac:dyDescent="0.25">
      <c r="A234">
        <v>52</v>
      </c>
      <c r="B234">
        <v>2</v>
      </c>
      <c r="C234">
        <v>26.4</v>
      </c>
      <c r="D234">
        <v>91.33</v>
      </c>
      <c r="E234">
        <v>218</v>
      </c>
      <c r="F234">
        <v>152</v>
      </c>
      <c r="G234">
        <v>39</v>
      </c>
      <c r="H234">
        <v>5.59</v>
      </c>
      <c r="I234">
        <v>4.9053000000000004</v>
      </c>
      <c r="J234">
        <v>99</v>
      </c>
      <c r="K234">
        <v>259</v>
      </c>
    </row>
    <row r="235" spans="1:11" x14ac:dyDescent="0.25">
      <c r="A235">
        <v>67</v>
      </c>
      <c r="B235">
        <v>1</v>
      </c>
      <c r="C235">
        <v>29.8</v>
      </c>
      <c r="D235">
        <v>80</v>
      </c>
      <c r="E235">
        <v>172</v>
      </c>
      <c r="F235">
        <v>93.4</v>
      </c>
      <c r="G235">
        <v>63</v>
      </c>
      <c r="H235">
        <v>3</v>
      </c>
      <c r="I235">
        <v>4.3567</v>
      </c>
      <c r="J235">
        <v>82</v>
      </c>
      <c r="K235">
        <v>90</v>
      </c>
    </row>
    <row r="236" spans="1:11" x14ac:dyDescent="0.25">
      <c r="A236">
        <v>61</v>
      </c>
      <c r="B236">
        <v>1</v>
      </c>
      <c r="C236">
        <v>30</v>
      </c>
      <c r="D236">
        <v>108</v>
      </c>
      <c r="E236">
        <v>194</v>
      </c>
      <c r="F236">
        <v>100</v>
      </c>
      <c r="G236">
        <v>52</v>
      </c>
      <c r="H236">
        <v>3.73</v>
      </c>
      <c r="I236">
        <v>5.3471000000000002</v>
      </c>
      <c r="J236">
        <v>105</v>
      </c>
      <c r="K236">
        <v>246</v>
      </c>
    </row>
    <row r="237" spans="1:11" x14ac:dyDescent="0.25">
      <c r="A237">
        <v>67</v>
      </c>
      <c r="B237">
        <v>2</v>
      </c>
      <c r="C237">
        <v>25</v>
      </c>
      <c r="D237">
        <v>111.67</v>
      </c>
      <c r="E237">
        <v>146</v>
      </c>
      <c r="F237">
        <v>93.4</v>
      </c>
      <c r="G237">
        <v>33</v>
      </c>
      <c r="H237">
        <v>4.42</v>
      </c>
      <c r="I237">
        <v>4.585</v>
      </c>
      <c r="J237">
        <v>103</v>
      </c>
      <c r="K237">
        <v>124</v>
      </c>
    </row>
    <row r="238" spans="1:11" x14ac:dyDescent="0.25">
      <c r="A238">
        <v>56</v>
      </c>
      <c r="B238">
        <v>1</v>
      </c>
      <c r="C238">
        <v>27</v>
      </c>
      <c r="D238">
        <v>105</v>
      </c>
      <c r="E238">
        <v>247</v>
      </c>
      <c r="F238">
        <v>160.6</v>
      </c>
      <c r="G238">
        <v>54</v>
      </c>
      <c r="H238">
        <v>5</v>
      </c>
      <c r="I238">
        <v>5.0876000000000001</v>
      </c>
      <c r="J238">
        <v>94</v>
      </c>
      <c r="K238">
        <v>67</v>
      </c>
    </row>
    <row r="239" spans="1:11" x14ac:dyDescent="0.25">
      <c r="A239">
        <v>64</v>
      </c>
      <c r="B239">
        <v>1</v>
      </c>
      <c r="C239">
        <v>20</v>
      </c>
      <c r="D239">
        <v>74.67</v>
      </c>
      <c r="E239">
        <v>189</v>
      </c>
      <c r="F239">
        <v>114.8</v>
      </c>
      <c r="G239">
        <v>62</v>
      </c>
      <c r="H239">
        <v>3.05</v>
      </c>
      <c r="I239">
        <v>4.1109</v>
      </c>
      <c r="J239">
        <v>91</v>
      </c>
      <c r="K239">
        <v>72</v>
      </c>
    </row>
    <row r="240" spans="1:11" x14ac:dyDescent="0.25">
      <c r="A240">
        <v>58</v>
      </c>
      <c r="B240">
        <v>2</v>
      </c>
      <c r="C240">
        <v>25.5</v>
      </c>
      <c r="D240">
        <v>112</v>
      </c>
      <c r="E240">
        <v>163</v>
      </c>
      <c r="F240">
        <v>110.6</v>
      </c>
      <c r="G240">
        <v>29</v>
      </c>
      <c r="H240">
        <v>6</v>
      </c>
      <c r="I240">
        <v>4.7622</v>
      </c>
      <c r="J240">
        <v>86</v>
      </c>
      <c r="K240">
        <v>257</v>
      </c>
    </row>
    <row r="241" spans="1:11" x14ac:dyDescent="0.25">
      <c r="A241">
        <v>55</v>
      </c>
      <c r="B241">
        <v>1</v>
      </c>
      <c r="C241">
        <v>28.2</v>
      </c>
      <c r="D241">
        <v>91</v>
      </c>
      <c r="E241">
        <v>250</v>
      </c>
      <c r="F241">
        <v>140.19999999999999</v>
      </c>
      <c r="G241">
        <v>67</v>
      </c>
      <c r="H241">
        <v>4</v>
      </c>
      <c r="I241">
        <v>5.3659999999999997</v>
      </c>
      <c r="J241">
        <v>103</v>
      </c>
      <c r="K241">
        <v>262</v>
      </c>
    </row>
    <row r="242" spans="1:11" x14ac:dyDescent="0.25">
      <c r="A242">
        <v>62</v>
      </c>
      <c r="B242">
        <v>2</v>
      </c>
      <c r="C242">
        <v>33.299999999999997</v>
      </c>
      <c r="D242">
        <v>114</v>
      </c>
      <c r="E242">
        <v>182</v>
      </c>
      <c r="F242">
        <v>114</v>
      </c>
      <c r="G242">
        <v>38</v>
      </c>
      <c r="H242">
        <v>5</v>
      </c>
      <c r="I242">
        <v>5.0106000000000002</v>
      </c>
      <c r="J242">
        <v>96</v>
      </c>
      <c r="K242">
        <v>275</v>
      </c>
    </row>
    <row r="243" spans="1:11" x14ac:dyDescent="0.25">
      <c r="A243">
        <v>57</v>
      </c>
      <c r="B243">
        <v>2</v>
      </c>
      <c r="C243">
        <v>25.6</v>
      </c>
      <c r="D243">
        <v>96</v>
      </c>
      <c r="E243">
        <v>200</v>
      </c>
      <c r="F243">
        <v>133</v>
      </c>
      <c r="G243">
        <v>52</v>
      </c>
      <c r="H243">
        <v>3.85</v>
      </c>
      <c r="I243">
        <v>4.3174999999999999</v>
      </c>
      <c r="J243">
        <v>105</v>
      </c>
      <c r="K243">
        <v>177</v>
      </c>
    </row>
    <row r="244" spans="1:11" x14ac:dyDescent="0.25">
      <c r="A244">
        <v>20</v>
      </c>
      <c r="B244">
        <v>2</v>
      </c>
      <c r="C244">
        <v>24.2</v>
      </c>
      <c r="D244">
        <v>88</v>
      </c>
      <c r="E244">
        <v>126</v>
      </c>
      <c r="F244">
        <v>72.2</v>
      </c>
      <c r="G244">
        <v>45</v>
      </c>
      <c r="H244">
        <v>3</v>
      </c>
      <c r="I244">
        <v>3.7841999999999998</v>
      </c>
      <c r="J244">
        <v>74</v>
      </c>
      <c r="K244">
        <v>71</v>
      </c>
    </row>
    <row r="245" spans="1:11" x14ac:dyDescent="0.25">
      <c r="A245">
        <v>53</v>
      </c>
      <c r="B245">
        <v>2</v>
      </c>
      <c r="C245">
        <v>22.1</v>
      </c>
      <c r="D245">
        <v>98</v>
      </c>
      <c r="E245">
        <v>165</v>
      </c>
      <c r="F245">
        <v>105.2</v>
      </c>
      <c r="G245">
        <v>47</v>
      </c>
      <c r="H245">
        <v>4</v>
      </c>
      <c r="I245">
        <v>4.1589</v>
      </c>
      <c r="J245">
        <v>81</v>
      </c>
      <c r="K245">
        <v>47</v>
      </c>
    </row>
    <row r="246" spans="1:11" x14ac:dyDescent="0.25">
      <c r="A246">
        <v>32</v>
      </c>
      <c r="B246">
        <v>2</v>
      </c>
      <c r="C246">
        <v>31.4</v>
      </c>
      <c r="D246">
        <v>89</v>
      </c>
      <c r="E246">
        <v>153</v>
      </c>
      <c r="F246">
        <v>84.2</v>
      </c>
      <c r="G246">
        <v>56</v>
      </c>
      <c r="H246">
        <v>3</v>
      </c>
      <c r="I246">
        <v>4.1589</v>
      </c>
      <c r="J246">
        <v>90</v>
      </c>
      <c r="K246">
        <v>187</v>
      </c>
    </row>
    <row r="247" spans="1:11" x14ac:dyDescent="0.25">
      <c r="A247">
        <v>41</v>
      </c>
      <c r="B247">
        <v>1</v>
      </c>
      <c r="C247">
        <v>23.1</v>
      </c>
      <c r="D247">
        <v>86</v>
      </c>
      <c r="E247">
        <v>148</v>
      </c>
      <c r="F247">
        <v>78</v>
      </c>
      <c r="G247">
        <v>58</v>
      </c>
      <c r="H247">
        <v>3</v>
      </c>
      <c r="I247">
        <v>4.0942999999999996</v>
      </c>
      <c r="J247">
        <v>60</v>
      </c>
      <c r="K247">
        <v>125</v>
      </c>
    </row>
    <row r="248" spans="1:11" x14ac:dyDescent="0.25">
      <c r="A248">
        <v>60</v>
      </c>
      <c r="B248">
        <v>1</v>
      </c>
      <c r="C248">
        <v>23.4</v>
      </c>
      <c r="D248">
        <v>76.67</v>
      </c>
      <c r="E248">
        <v>247</v>
      </c>
      <c r="F248">
        <v>148</v>
      </c>
      <c r="G248">
        <v>65</v>
      </c>
      <c r="H248">
        <v>3.8</v>
      </c>
      <c r="I248">
        <v>5.1357999999999997</v>
      </c>
      <c r="J248">
        <v>77</v>
      </c>
      <c r="K248">
        <v>78</v>
      </c>
    </row>
    <row r="249" spans="1:11" x14ac:dyDescent="0.25">
      <c r="A249">
        <v>26</v>
      </c>
      <c r="B249">
        <v>1</v>
      </c>
      <c r="C249">
        <v>18.8</v>
      </c>
      <c r="D249">
        <v>83</v>
      </c>
      <c r="E249">
        <v>191</v>
      </c>
      <c r="F249">
        <v>103.6</v>
      </c>
      <c r="G249">
        <v>69</v>
      </c>
      <c r="H249">
        <v>3</v>
      </c>
      <c r="I249">
        <v>4.5217999999999998</v>
      </c>
      <c r="J249">
        <v>69</v>
      </c>
      <c r="K249">
        <v>51</v>
      </c>
    </row>
    <row r="250" spans="1:11" x14ac:dyDescent="0.25">
      <c r="A250">
        <v>37</v>
      </c>
      <c r="B250">
        <v>1</v>
      </c>
      <c r="C250">
        <v>30.8</v>
      </c>
      <c r="D250">
        <v>112</v>
      </c>
      <c r="E250">
        <v>282</v>
      </c>
      <c r="F250">
        <v>197.2</v>
      </c>
      <c r="G250">
        <v>43</v>
      </c>
      <c r="H250">
        <v>7</v>
      </c>
      <c r="I250">
        <v>5.3422999999999998</v>
      </c>
      <c r="J250">
        <v>101</v>
      </c>
      <c r="K250">
        <v>258</v>
      </c>
    </row>
    <row r="251" spans="1:11" x14ac:dyDescent="0.25">
      <c r="A251">
        <v>45</v>
      </c>
      <c r="B251">
        <v>1</v>
      </c>
      <c r="C251">
        <v>32</v>
      </c>
      <c r="D251">
        <v>110</v>
      </c>
      <c r="E251">
        <v>224</v>
      </c>
      <c r="F251">
        <v>134.19999999999999</v>
      </c>
      <c r="G251">
        <v>45</v>
      </c>
      <c r="H251">
        <v>5</v>
      </c>
      <c r="I251">
        <v>5.4116</v>
      </c>
      <c r="J251">
        <v>93</v>
      </c>
      <c r="K251">
        <v>215</v>
      </c>
    </row>
    <row r="252" spans="1:11" x14ac:dyDescent="0.25">
      <c r="A252">
        <v>67</v>
      </c>
      <c r="B252">
        <v>1</v>
      </c>
      <c r="C252">
        <v>31.6</v>
      </c>
      <c r="D252">
        <v>116</v>
      </c>
      <c r="E252">
        <v>179</v>
      </c>
      <c r="F252">
        <v>90.4</v>
      </c>
      <c r="G252">
        <v>41</v>
      </c>
      <c r="H252">
        <v>4</v>
      </c>
      <c r="I252">
        <v>5.4722999999999997</v>
      </c>
      <c r="J252">
        <v>100</v>
      </c>
      <c r="K252">
        <v>303</v>
      </c>
    </row>
    <row r="253" spans="1:11" x14ac:dyDescent="0.25">
      <c r="A253">
        <v>34</v>
      </c>
      <c r="B253">
        <v>2</v>
      </c>
      <c r="C253">
        <v>35.5</v>
      </c>
      <c r="D253">
        <v>120</v>
      </c>
      <c r="E253">
        <v>233</v>
      </c>
      <c r="F253">
        <v>146.6</v>
      </c>
      <c r="G253">
        <v>34</v>
      </c>
      <c r="H253">
        <v>7</v>
      </c>
      <c r="I253">
        <v>5.5682999999999998</v>
      </c>
      <c r="J253">
        <v>101</v>
      </c>
      <c r="K253">
        <v>243</v>
      </c>
    </row>
    <row r="254" spans="1:11" x14ac:dyDescent="0.25">
      <c r="A254">
        <v>50</v>
      </c>
      <c r="B254">
        <v>1</v>
      </c>
      <c r="C254">
        <v>31.9</v>
      </c>
      <c r="D254">
        <v>78.33</v>
      </c>
      <c r="E254">
        <v>207</v>
      </c>
      <c r="F254">
        <v>149.19999999999999</v>
      </c>
      <c r="G254">
        <v>38</v>
      </c>
      <c r="H254">
        <v>5.45</v>
      </c>
      <c r="I254">
        <v>4.5951000000000004</v>
      </c>
      <c r="J254">
        <v>84</v>
      </c>
      <c r="K254">
        <v>91</v>
      </c>
    </row>
    <row r="255" spans="1:11" x14ac:dyDescent="0.25">
      <c r="A255">
        <v>71</v>
      </c>
      <c r="B255">
        <v>1</v>
      </c>
      <c r="C255">
        <v>29.5</v>
      </c>
      <c r="D255">
        <v>97</v>
      </c>
      <c r="E255">
        <v>227</v>
      </c>
      <c r="F255">
        <v>151.6</v>
      </c>
      <c r="G255">
        <v>45</v>
      </c>
      <c r="H255">
        <v>5</v>
      </c>
      <c r="I255">
        <v>5.0239000000000003</v>
      </c>
      <c r="J255">
        <v>108</v>
      </c>
      <c r="K255">
        <v>150</v>
      </c>
    </row>
    <row r="256" spans="1:11" x14ac:dyDescent="0.25">
      <c r="A256">
        <v>57</v>
      </c>
      <c r="B256">
        <v>2</v>
      </c>
      <c r="C256">
        <v>31.6</v>
      </c>
      <c r="D256">
        <v>117</v>
      </c>
      <c r="E256">
        <v>225</v>
      </c>
      <c r="F256">
        <v>107.6</v>
      </c>
      <c r="G256">
        <v>40</v>
      </c>
      <c r="H256">
        <v>6</v>
      </c>
      <c r="I256">
        <v>5.9584000000000001</v>
      </c>
      <c r="J256">
        <v>113</v>
      </c>
      <c r="K256">
        <v>310</v>
      </c>
    </row>
    <row r="257" spans="1:11" x14ac:dyDescent="0.25">
      <c r="A257">
        <v>49</v>
      </c>
      <c r="B257">
        <v>1</v>
      </c>
      <c r="C257">
        <v>20.3</v>
      </c>
      <c r="D257">
        <v>93</v>
      </c>
      <c r="E257">
        <v>184</v>
      </c>
      <c r="F257">
        <v>103</v>
      </c>
      <c r="G257">
        <v>61</v>
      </c>
      <c r="H257">
        <v>3</v>
      </c>
      <c r="I257">
        <v>4.6052</v>
      </c>
      <c r="J257">
        <v>93</v>
      </c>
      <c r="K257">
        <v>153</v>
      </c>
    </row>
    <row r="258" spans="1:11" x14ac:dyDescent="0.25">
      <c r="A258">
        <v>35</v>
      </c>
      <c r="B258">
        <v>1</v>
      </c>
      <c r="C258">
        <v>41.3</v>
      </c>
      <c r="D258">
        <v>81</v>
      </c>
      <c r="E258">
        <v>168</v>
      </c>
      <c r="F258">
        <v>102.8</v>
      </c>
      <c r="G258">
        <v>37</v>
      </c>
      <c r="H258">
        <v>5</v>
      </c>
      <c r="I258">
        <v>4.9488000000000003</v>
      </c>
      <c r="J258">
        <v>94</v>
      </c>
      <c r="K258">
        <v>346</v>
      </c>
    </row>
    <row r="259" spans="1:11" x14ac:dyDescent="0.25">
      <c r="A259">
        <v>41</v>
      </c>
      <c r="B259">
        <v>2</v>
      </c>
      <c r="C259">
        <v>21.2</v>
      </c>
      <c r="D259">
        <v>102</v>
      </c>
      <c r="E259">
        <v>184</v>
      </c>
      <c r="F259">
        <v>100.4</v>
      </c>
      <c r="G259">
        <v>64</v>
      </c>
      <c r="H259">
        <v>3</v>
      </c>
      <c r="I259">
        <v>4.585</v>
      </c>
      <c r="J259">
        <v>79</v>
      </c>
      <c r="K259">
        <v>63</v>
      </c>
    </row>
    <row r="260" spans="1:11" x14ac:dyDescent="0.25">
      <c r="A260">
        <v>70</v>
      </c>
      <c r="B260">
        <v>2</v>
      </c>
      <c r="C260">
        <v>24.1</v>
      </c>
      <c r="D260">
        <v>82.33</v>
      </c>
      <c r="E260">
        <v>194</v>
      </c>
      <c r="F260">
        <v>149.19999999999999</v>
      </c>
      <c r="G260">
        <v>31</v>
      </c>
      <c r="H260">
        <v>6.26</v>
      </c>
      <c r="I260">
        <v>4.2340999999999998</v>
      </c>
      <c r="J260">
        <v>105</v>
      </c>
      <c r="K260">
        <v>89</v>
      </c>
    </row>
    <row r="261" spans="1:11" x14ac:dyDescent="0.25">
      <c r="A261">
        <v>52</v>
      </c>
      <c r="B261">
        <v>1</v>
      </c>
      <c r="C261">
        <v>23</v>
      </c>
      <c r="D261">
        <v>107</v>
      </c>
      <c r="E261">
        <v>179</v>
      </c>
      <c r="F261">
        <v>123.7</v>
      </c>
      <c r="G261">
        <v>42.5</v>
      </c>
      <c r="H261">
        <v>4.21</v>
      </c>
      <c r="I261">
        <v>4.1589</v>
      </c>
      <c r="J261">
        <v>93</v>
      </c>
      <c r="K261">
        <v>50</v>
      </c>
    </row>
    <row r="262" spans="1:11" x14ac:dyDescent="0.25">
      <c r="A262">
        <v>60</v>
      </c>
      <c r="B262">
        <v>1</v>
      </c>
      <c r="C262">
        <v>25.6</v>
      </c>
      <c r="D262">
        <v>78</v>
      </c>
      <c r="E262">
        <v>195</v>
      </c>
      <c r="F262">
        <v>95.4</v>
      </c>
      <c r="G262">
        <v>91</v>
      </c>
      <c r="H262">
        <v>2</v>
      </c>
      <c r="I262">
        <v>3.7612000000000001</v>
      </c>
      <c r="J262">
        <v>87</v>
      </c>
      <c r="K262">
        <v>39</v>
      </c>
    </row>
    <row r="263" spans="1:11" x14ac:dyDescent="0.25">
      <c r="A263">
        <v>62</v>
      </c>
      <c r="B263">
        <v>1</v>
      </c>
      <c r="C263">
        <v>22.5</v>
      </c>
      <c r="D263">
        <v>125</v>
      </c>
      <c r="E263">
        <v>215</v>
      </c>
      <c r="F263">
        <v>99</v>
      </c>
      <c r="G263">
        <v>98</v>
      </c>
      <c r="H263">
        <v>2</v>
      </c>
      <c r="I263">
        <v>4.4997999999999996</v>
      </c>
      <c r="J263">
        <v>95</v>
      </c>
      <c r="K263">
        <v>103</v>
      </c>
    </row>
    <row r="264" spans="1:11" x14ac:dyDescent="0.25">
      <c r="A264">
        <v>44</v>
      </c>
      <c r="B264">
        <v>2</v>
      </c>
      <c r="C264">
        <v>38.200000000000003</v>
      </c>
      <c r="D264">
        <v>123</v>
      </c>
      <c r="E264">
        <v>201</v>
      </c>
      <c r="F264">
        <v>126.6</v>
      </c>
      <c r="G264">
        <v>44</v>
      </c>
      <c r="H264">
        <v>5</v>
      </c>
      <c r="I264">
        <v>5.0239000000000003</v>
      </c>
      <c r="J264">
        <v>92</v>
      </c>
      <c r="K264">
        <v>308</v>
      </c>
    </row>
    <row r="265" spans="1:11" x14ac:dyDescent="0.25">
      <c r="A265">
        <v>28</v>
      </c>
      <c r="B265">
        <v>2</v>
      </c>
      <c r="C265">
        <v>19.2</v>
      </c>
      <c r="D265">
        <v>81</v>
      </c>
      <c r="E265">
        <v>155</v>
      </c>
      <c r="F265">
        <v>94.6</v>
      </c>
      <c r="G265">
        <v>51</v>
      </c>
      <c r="H265">
        <v>3</v>
      </c>
      <c r="I265">
        <v>3.8500999999999999</v>
      </c>
      <c r="J265">
        <v>87</v>
      </c>
      <c r="K265">
        <v>116</v>
      </c>
    </row>
    <row r="266" spans="1:11" x14ac:dyDescent="0.25">
      <c r="A266">
        <v>58</v>
      </c>
      <c r="B266">
        <v>2</v>
      </c>
      <c r="C266">
        <v>29</v>
      </c>
      <c r="D266">
        <v>85</v>
      </c>
      <c r="E266">
        <v>156</v>
      </c>
      <c r="F266">
        <v>109.2</v>
      </c>
      <c r="G266">
        <v>36</v>
      </c>
      <c r="H266">
        <v>4</v>
      </c>
      <c r="I266">
        <v>3.9889999999999999</v>
      </c>
      <c r="J266">
        <v>86</v>
      </c>
      <c r="K266">
        <v>145</v>
      </c>
    </row>
    <row r="267" spans="1:11" x14ac:dyDescent="0.25">
      <c r="A267">
        <v>39</v>
      </c>
      <c r="B267">
        <v>2</v>
      </c>
      <c r="C267">
        <v>24</v>
      </c>
      <c r="D267">
        <v>89.67</v>
      </c>
      <c r="E267">
        <v>190</v>
      </c>
      <c r="F267">
        <v>113.6</v>
      </c>
      <c r="G267">
        <v>52</v>
      </c>
      <c r="H267">
        <v>3.65</v>
      </c>
      <c r="I267">
        <v>4.8040000000000003</v>
      </c>
      <c r="J267">
        <v>101</v>
      </c>
      <c r="K267">
        <v>74</v>
      </c>
    </row>
    <row r="268" spans="1:11" x14ac:dyDescent="0.25">
      <c r="A268">
        <v>34</v>
      </c>
      <c r="B268">
        <v>2</v>
      </c>
      <c r="C268">
        <v>20.6</v>
      </c>
      <c r="D268">
        <v>98</v>
      </c>
      <c r="E268">
        <v>183</v>
      </c>
      <c r="F268">
        <v>92</v>
      </c>
      <c r="G268">
        <v>83</v>
      </c>
      <c r="H268">
        <v>2</v>
      </c>
      <c r="I268">
        <v>3.6888999999999998</v>
      </c>
      <c r="J268">
        <v>92</v>
      </c>
      <c r="K268">
        <v>45</v>
      </c>
    </row>
    <row r="269" spans="1:11" x14ac:dyDescent="0.25">
      <c r="A269">
        <v>65</v>
      </c>
      <c r="B269">
        <v>1</v>
      </c>
      <c r="C269">
        <v>26.3</v>
      </c>
      <c r="D269">
        <v>70</v>
      </c>
      <c r="E269">
        <v>244</v>
      </c>
      <c r="F269">
        <v>166.2</v>
      </c>
      <c r="G269">
        <v>51</v>
      </c>
      <c r="H269">
        <v>5</v>
      </c>
      <c r="I269">
        <v>4.8978000000000002</v>
      </c>
      <c r="J269">
        <v>98</v>
      </c>
      <c r="K269">
        <v>115</v>
      </c>
    </row>
    <row r="270" spans="1:11" x14ac:dyDescent="0.25">
      <c r="A270">
        <v>66</v>
      </c>
      <c r="B270">
        <v>2</v>
      </c>
      <c r="C270">
        <v>34.6</v>
      </c>
      <c r="D270">
        <v>115</v>
      </c>
      <c r="E270">
        <v>204</v>
      </c>
      <c r="F270">
        <v>139.4</v>
      </c>
      <c r="G270">
        <v>36</v>
      </c>
      <c r="H270">
        <v>6</v>
      </c>
      <c r="I270">
        <v>4.9627999999999997</v>
      </c>
      <c r="J270">
        <v>109</v>
      </c>
      <c r="K270">
        <v>264</v>
      </c>
    </row>
    <row r="271" spans="1:11" x14ac:dyDescent="0.25">
      <c r="A271">
        <v>51</v>
      </c>
      <c r="B271">
        <v>1</v>
      </c>
      <c r="C271">
        <v>23.4</v>
      </c>
      <c r="D271">
        <v>87</v>
      </c>
      <c r="E271">
        <v>220</v>
      </c>
      <c r="F271">
        <v>108.8</v>
      </c>
      <c r="G271">
        <v>93</v>
      </c>
      <c r="H271">
        <v>2</v>
      </c>
      <c r="I271">
        <v>4.5109000000000004</v>
      </c>
      <c r="J271">
        <v>82</v>
      </c>
      <c r="K271">
        <v>87</v>
      </c>
    </row>
    <row r="272" spans="1:11" x14ac:dyDescent="0.25">
      <c r="A272">
        <v>50</v>
      </c>
      <c r="B272">
        <v>2</v>
      </c>
      <c r="C272">
        <v>29.2</v>
      </c>
      <c r="D272">
        <v>119</v>
      </c>
      <c r="E272">
        <v>162</v>
      </c>
      <c r="F272">
        <v>85.2</v>
      </c>
      <c r="G272">
        <v>54</v>
      </c>
      <c r="H272">
        <v>3</v>
      </c>
      <c r="I272">
        <v>4.7362000000000002</v>
      </c>
      <c r="J272">
        <v>95</v>
      </c>
      <c r="K272">
        <v>202</v>
      </c>
    </row>
    <row r="273" spans="1:11" x14ac:dyDescent="0.25">
      <c r="A273">
        <v>59</v>
      </c>
      <c r="B273">
        <v>2</v>
      </c>
      <c r="C273">
        <v>27.2</v>
      </c>
      <c r="D273">
        <v>107</v>
      </c>
      <c r="E273">
        <v>158</v>
      </c>
      <c r="F273">
        <v>102</v>
      </c>
      <c r="G273">
        <v>39</v>
      </c>
      <c r="H273">
        <v>4</v>
      </c>
      <c r="I273">
        <v>4.4427000000000003</v>
      </c>
      <c r="J273">
        <v>93</v>
      </c>
      <c r="K273">
        <v>127</v>
      </c>
    </row>
    <row r="274" spans="1:11" x14ac:dyDescent="0.25">
      <c r="A274">
        <v>52</v>
      </c>
      <c r="B274">
        <v>1</v>
      </c>
      <c r="C274">
        <v>27</v>
      </c>
      <c r="D274">
        <v>78.33</v>
      </c>
      <c r="E274">
        <v>134</v>
      </c>
      <c r="F274">
        <v>73</v>
      </c>
      <c r="G274">
        <v>44</v>
      </c>
      <c r="H274">
        <v>3.05</v>
      </c>
      <c r="I274">
        <v>4.4427000000000003</v>
      </c>
      <c r="J274">
        <v>69</v>
      </c>
      <c r="K274">
        <v>182</v>
      </c>
    </row>
    <row r="275" spans="1:11" x14ac:dyDescent="0.25">
      <c r="A275">
        <v>69</v>
      </c>
      <c r="B275">
        <v>2</v>
      </c>
      <c r="C275">
        <v>24.5</v>
      </c>
      <c r="D275">
        <v>108</v>
      </c>
      <c r="E275">
        <v>243</v>
      </c>
      <c r="F275">
        <v>136.4</v>
      </c>
      <c r="G275">
        <v>40</v>
      </c>
      <c r="H275">
        <v>6</v>
      </c>
      <c r="I275">
        <v>5.8080999999999996</v>
      </c>
      <c r="J275">
        <v>100</v>
      </c>
      <c r="K275">
        <v>241</v>
      </c>
    </row>
    <row r="276" spans="1:11" x14ac:dyDescent="0.25">
      <c r="A276">
        <v>53</v>
      </c>
      <c r="B276">
        <v>1</v>
      </c>
      <c r="C276">
        <v>24.1</v>
      </c>
      <c r="D276">
        <v>105</v>
      </c>
      <c r="E276">
        <v>184</v>
      </c>
      <c r="F276">
        <v>113.4</v>
      </c>
      <c r="G276">
        <v>46</v>
      </c>
      <c r="H276">
        <v>4</v>
      </c>
      <c r="I276">
        <v>4.8121999999999998</v>
      </c>
      <c r="J276">
        <v>95</v>
      </c>
      <c r="K276">
        <v>66</v>
      </c>
    </row>
    <row r="277" spans="1:11" x14ac:dyDescent="0.25">
      <c r="A277">
        <v>47</v>
      </c>
      <c r="B277">
        <v>2</v>
      </c>
      <c r="C277">
        <v>25.3</v>
      </c>
      <c r="D277">
        <v>98</v>
      </c>
      <c r="E277">
        <v>173</v>
      </c>
      <c r="F277">
        <v>105.6</v>
      </c>
      <c r="G277">
        <v>44</v>
      </c>
      <c r="H277">
        <v>4</v>
      </c>
      <c r="I277">
        <v>4.7622</v>
      </c>
      <c r="J277">
        <v>108</v>
      </c>
      <c r="K277">
        <v>94</v>
      </c>
    </row>
    <row r="278" spans="1:11" x14ac:dyDescent="0.25">
      <c r="A278">
        <v>52</v>
      </c>
      <c r="B278">
        <v>1</v>
      </c>
      <c r="C278">
        <v>28.8</v>
      </c>
      <c r="D278">
        <v>113</v>
      </c>
      <c r="E278">
        <v>280</v>
      </c>
      <c r="F278">
        <v>174</v>
      </c>
      <c r="G278">
        <v>67</v>
      </c>
      <c r="H278">
        <v>4</v>
      </c>
      <c r="I278">
        <v>5.2729999999999997</v>
      </c>
      <c r="J278">
        <v>86</v>
      </c>
      <c r="K278">
        <v>283</v>
      </c>
    </row>
    <row r="279" spans="1:11" x14ac:dyDescent="0.25">
      <c r="A279">
        <v>39</v>
      </c>
      <c r="B279">
        <v>1</v>
      </c>
      <c r="C279">
        <v>20.9</v>
      </c>
      <c r="D279">
        <v>95</v>
      </c>
      <c r="E279">
        <v>150</v>
      </c>
      <c r="F279">
        <v>65.599999999999994</v>
      </c>
      <c r="G279">
        <v>68</v>
      </c>
      <c r="H279">
        <v>2</v>
      </c>
      <c r="I279">
        <v>4.4066999999999998</v>
      </c>
      <c r="J279">
        <v>95</v>
      </c>
      <c r="K279">
        <v>64</v>
      </c>
    </row>
    <row r="280" spans="1:11" x14ac:dyDescent="0.25">
      <c r="A280">
        <v>67</v>
      </c>
      <c r="B280">
        <v>2</v>
      </c>
      <c r="C280">
        <v>23</v>
      </c>
      <c r="D280">
        <v>70</v>
      </c>
      <c r="E280">
        <v>184</v>
      </c>
      <c r="F280">
        <v>128</v>
      </c>
      <c r="G280">
        <v>35</v>
      </c>
      <c r="H280">
        <v>5</v>
      </c>
      <c r="I280">
        <v>4.6539999999999999</v>
      </c>
      <c r="J280">
        <v>99</v>
      </c>
      <c r="K280">
        <v>102</v>
      </c>
    </row>
    <row r="281" spans="1:11" x14ac:dyDescent="0.25">
      <c r="A281">
        <v>59</v>
      </c>
      <c r="B281">
        <v>2</v>
      </c>
      <c r="C281">
        <v>24.1</v>
      </c>
      <c r="D281">
        <v>96</v>
      </c>
      <c r="E281">
        <v>170</v>
      </c>
      <c r="F281">
        <v>98.6</v>
      </c>
      <c r="G281">
        <v>54</v>
      </c>
      <c r="H281">
        <v>3</v>
      </c>
      <c r="I281">
        <v>4.4659000000000004</v>
      </c>
      <c r="J281">
        <v>85</v>
      </c>
      <c r="K281">
        <v>200</v>
      </c>
    </row>
    <row r="282" spans="1:11" x14ac:dyDescent="0.25">
      <c r="A282">
        <v>51</v>
      </c>
      <c r="B282">
        <v>2</v>
      </c>
      <c r="C282">
        <v>28.1</v>
      </c>
      <c r="D282">
        <v>106</v>
      </c>
      <c r="E282">
        <v>202</v>
      </c>
      <c r="F282">
        <v>122.2</v>
      </c>
      <c r="G282">
        <v>55</v>
      </c>
      <c r="H282">
        <v>4</v>
      </c>
      <c r="I282">
        <v>4.8202999999999996</v>
      </c>
      <c r="J282">
        <v>87</v>
      </c>
      <c r="K282">
        <v>265</v>
      </c>
    </row>
    <row r="283" spans="1:11" x14ac:dyDescent="0.25">
      <c r="A283">
        <v>23</v>
      </c>
      <c r="B283">
        <v>2</v>
      </c>
      <c r="C283">
        <v>18</v>
      </c>
      <c r="D283">
        <v>78</v>
      </c>
      <c r="E283">
        <v>171</v>
      </c>
      <c r="F283">
        <v>96</v>
      </c>
      <c r="G283">
        <v>48</v>
      </c>
      <c r="H283">
        <v>4</v>
      </c>
      <c r="I283">
        <v>4.9053000000000004</v>
      </c>
      <c r="J283">
        <v>92</v>
      </c>
      <c r="K283">
        <v>94</v>
      </c>
    </row>
    <row r="284" spans="1:11" x14ac:dyDescent="0.25">
      <c r="A284">
        <v>68</v>
      </c>
      <c r="B284">
        <v>1</v>
      </c>
      <c r="C284">
        <v>25.9</v>
      </c>
      <c r="D284">
        <v>93</v>
      </c>
      <c r="E284">
        <v>253</v>
      </c>
      <c r="F284">
        <v>181.2</v>
      </c>
      <c r="G284">
        <v>53</v>
      </c>
      <c r="H284">
        <v>5</v>
      </c>
      <c r="I284">
        <v>4.5433000000000003</v>
      </c>
      <c r="J284">
        <v>98</v>
      </c>
      <c r="K284">
        <v>230</v>
      </c>
    </row>
    <row r="285" spans="1:11" x14ac:dyDescent="0.25">
      <c r="A285">
        <v>44</v>
      </c>
      <c r="B285">
        <v>1</v>
      </c>
      <c r="C285">
        <v>21.5</v>
      </c>
      <c r="D285">
        <v>85</v>
      </c>
      <c r="E285">
        <v>157</v>
      </c>
      <c r="F285">
        <v>92.2</v>
      </c>
      <c r="G285">
        <v>55</v>
      </c>
      <c r="H285">
        <v>3</v>
      </c>
      <c r="I285">
        <v>3.8917999999999999</v>
      </c>
      <c r="J285">
        <v>84</v>
      </c>
      <c r="K285">
        <v>181</v>
      </c>
    </row>
    <row r="286" spans="1:11" x14ac:dyDescent="0.25">
      <c r="A286">
        <v>60</v>
      </c>
      <c r="B286">
        <v>2</v>
      </c>
      <c r="C286">
        <v>24.3</v>
      </c>
      <c r="D286">
        <v>103</v>
      </c>
      <c r="E286">
        <v>141</v>
      </c>
      <c r="F286">
        <v>86.6</v>
      </c>
      <c r="G286">
        <v>33</v>
      </c>
      <c r="H286">
        <v>4</v>
      </c>
      <c r="I286">
        <v>4.6727999999999996</v>
      </c>
      <c r="J286">
        <v>78</v>
      </c>
      <c r="K286">
        <v>156</v>
      </c>
    </row>
    <row r="287" spans="1:11" x14ac:dyDescent="0.25">
      <c r="A287">
        <v>52</v>
      </c>
      <c r="B287">
        <v>1</v>
      </c>
      <c r="C287">
        <v>24.5</v>
      </c>
      <c r="D287">
        <v>90</v>
      </c>
      <c r="E287">
        <v>198</v>
      </c>
      <c r="F287">
        <v>129</v>
      </c>
      <c r="G287">
        <v>29</v>
      </c>
      <c r="H287">
        <v>7</v>
      </c>
      <c r="I287">
        <v>5.2983000000000002</v>
      </c>
      <c r="J287">
        <v>86</v>
      </c>
      <c r="K287">
        <v>233</v>
      </c>
    </row>
    <row r="288" spans="1:11" x14ac:dyDescent="0.25">
      <c r="A288">
        <v>38</v>
      </c>
      <c r="B288">
        <v>1</v>
      </c>
      <c r="C288">
        <v>21.3</v>
      </c>
      <c r="D288">
        <v>72</v>
      </c>
      <c r="E288">
        <v>165</v>
      </c>
      <c r="F288">
        <v>60.2</v>
      </c>
      <c r="G288">
        <v>88</v>
      </c>
      <c r="H288">
        <v>2</v>
      </c>
      <c r="I288">
        <v>4.4307999999999996</v>
      </c>
      <c r="J288">
        <v>90</v>
      </c>
      <c r="K288">
        <v>60</v>
      </c>
    </row>
    <row r="289" spans="1:11" x14ac:dyDescent="0.25">
      <c r="A289">
        <v>61</v>
      </c>
      <c r="B289">
        <v>1</v>
      </c>
      <c r="C289">
        <v>25.8</v>
      </c>
      <c r="D289">
        <v>90</v>
      </c>
      <c r="E289">
        <v>280</v>
      </c>
      <c r="F289">
        <v>195.4</v>
      </c>
      <c r="G289">
        <v>55</v>
      </c>
      <c r="H289">
        <v>5</v>
      </c>
      <c r="I289">
        <v>4.9972000000000003</v>
      </c>
      <c r="J289">
        <v>90</v>
      </c>
      <c r="K289">
        <v>219</v>
      </c>
    </row>
    <row r="290" spans="1:11" x14ac:dyDescent="0.25">
      <c r="A290">
        <v>68</v>
      </c>
      <c r="B290">
        <v>2</v>
      </c>
      <c r="C290">
        <v>24.8</v>
      </c>
      <c r="D290">
        <v>101</v>
      </c>
      <c r="E290">
        <v>221</v>
      </c>
      <c r="F290">
        <v>151.4</v>
      </c>
      <c r="G290">
        <v>60</v>
      </c>
      <c r="H290">
        <v>4</v>
      </c>
      <c r="I290">
        <v>3.8712</v>
      </c>
      <c r="J290">
        <v>87</v>
      </c>
      <c r="K290">
        <v>80</v>
      </c>
    </row>
    <row r="291" spans="1:11" x14ac:dyDescent="0.25">
      <c r="A291">
        <v>28</v>
      </c>
      <c r="B291">
        <v>2</v>
      </c>
      <c r="C291">
        <v>31.5</v>
      </c>
      <c r="D291">
        <v>83</v>
      </c>
      <c r="E291">
        <v>228</v>
      </c>
      <c r="F291">
        <v>149.4</v>
      </c>
      <c r="G291">
        <v>38</v>
      </c>
      <c r="H291">
        <v>6</v>
      </c>
      <c r="I291">
        <v>5.3132000000000001</v>
      </c>
      <c r="J291">
        <v>83</v>
      </c>
      <c r="K291">
        <v>68</v>
      </c>
    </row>
    <row r="292" spans="1:11" x14ac:dyDescent="0.25">
      <c r="A292">
        <v>65</v>
      </c>
      <c r="B292">
        <v>2</v>
      </c>
      <c r="C292">
        <v>33.5</v>
      </c>
      <c r="D292">
        <v>102</v>
      </c>
      <c r="E292">
        <v>190</v>
      </c>
      <c r="F292">
        <v>126.2</v>
      </c>
      <c r="G292">
        <v>35</v>
      </c>
      <c r="H292">
        <v>5</v>
      </c>
      <c r="I292">
        <v>4.9698000000000002</v>
      </c>
      <c r="J292">
        <v>102</v>
      </c>
      <c r="K292">
        <v>332</v>
      </c>
    </row>
    <row r="293" spans="1:11" x14ac:dyDescent="0.25">
      <c r="A293">
        <v>69</v>
      </c>
      <c r="B293">
        <v>1</v>
      </c>
      <c r="C293">
        <v>28.1</v>
      </c>
      <c r="D293">
        <v>113</v>
      </c>
      <c r="E293">
        <v>234</v>
      </c>
      <c r="F293">
        <v>142.80000000000001</v>
      </c>
      <c r="G293">
        <v>52</v>
      </c>
      <c r="H293">
        <v>4</v>
      </c>
      <c r="I293">
        <v>5.2781000000000002</v>
      </c>
      <c r="J293">
        <v>77</v>
      </c>
      <c r="K293">
        <v>248</v>
      </c>
    </row>
    <row r="294" spans="1:11" x14ac:dyDescent="0.25">
      <c r="A294">
        <v>51</v>
      </c>
      <c r="B294">
        <v>1</v>
      </c>
      <c r="C294">
        <v>24.3</v>
      </c>
      <c r="D294">
        <v>85.33</v>
      </c>
      <c r="E294">
        <v>153</v>
      </c>
      <c r="F294">
        <v>71.599999999999994</v>
      </c>
      <c r="G294">
        <v>71</v>
      </c>
      <c r="H294">
        <v>2.15</v>
      </c>
      <c r="I294">
        <v>3.9512</v>
      </c>
      <c r="J294">
        <v>82</v>
      </c>
      <c r="K294">
        <v>84</v>
      </c>
    </row>
    <row r="295" spans="1:11" x14ac:dyDescent="0.25">
      <c r="A295">
        <v>29</v>
      </c>
      <c r="B295">
        <v>1</v>
      </c>
      <c r="C295">
        <v>35</v>
      </c>
      <c r="D295">
        <v>98.33</v>
      </c>
      <c r="E295">
        <v>204</v>
      </c>
      <c r="F295">
        <v>142.6</v>
      </c>
      <c r="G295">
        <v>50</v>
      </c>
      <c r="H295">
        <v>4.08</v>
      </c>
      <c r="I295">
        <v>4.0430999999999999</v>
      </c>
      <c r="J295">
        <v>91</v>
      </c>
      <c r="K295">
        <v>200</v>
      </c>
    </row>
    <row r="296" spans="1:11" x14ac:dyDescent="0.25">
      <c r="A296">
        <v>55</v>
      </c>
      <c r="B296">
        <v>2</v>
      </c>
      <c r="C296">
        <v>23.5</v>
      </c>
      <c r="D296">
        <v>93</v>
      </c>
      <c r="E296">
        <v>177</v>
      </c>
      <c r="F296">
        <v>126.8</v>
      </c>
      <c r="G296">
        <v>41</v>
      </c>
      <c r="H296">
        <v>4</v>
      </c>
      <c r="I296">
        <v>3.8285999999999998</v>
      </c>
      <c r="J296">
        <v>83</v>
      </c>
      <c r="K296">
        <v>55</v>
      </c>
    </row>
    <row r="297" spans="1:11" x14ac:dyDescent="0.25">
      <c r="A297">
        <v>34</v>
      </c>
      <c r="B297">
        <v>2</v>
      </c>
      <c r="C297">
        <v>30</v>
      </c>
      <c r="D297">
        <v>83</v>
      </c>
      <c r="E297">
        <v>185</v>
      </c>
      <c r="F297">
        <v>107.2</v>
      </c>
      <c r="G297">
        <v>53</v>
      </c>
      <c r="H297">
        <v>3</v>
      </c>
      <c r="I297">
        <v>4.8202999999999996</v>
      </c>
      <c r="J297">
        <v>92</v>
      </c>
      <c r="K297">
        <v>85</v>
      </c>
    </row>
    <row r="298" spans="1:11" x14ac:dyDescent="0.25">
      <c r="A298">
        <v>67</v>
      </c>
      <c r="B298">
        <v>1</v>
      </c>
      <c r="C298">
        <v>20.7</v>
      </c>
      <c r="D298">
        <v>83</v>
      </c>
      <c r="E298">
        <v>170</v>
      </c>
      <c r="F298">
        <v>99.8</v>
      </c>
      <c r="G298">
        <v>59</v>
      </c>
      <c r="H298">
        <v>3</v>
      </c>
      <c r="I298">
        <v>4.0254000000000003</v>
      </c>
      <c r="J298">
        <v>77</v>
      </c>
      <c r="K298">
        <v>89</v>
      </c>
    </row>
    <row r="299" spans="1:11" x14ac:dyDescent="0.25">
      <c r="A299">
        <v>49</v>
      </c>
      <c r="B299">
        <v>1</v>
      </c>
      <c r="C299">
        <v>25.6</v>
      </c>
      <c r="D299">
        <v>76</v>
      </c>
      <c r="E299">
        <v>161</v>
      </c>
      <c r="F299">
        <v>99.8</v>
      </c>
      <c r="G299">
        <v>51</v>
      </c>
      <c r="H299">
        <v>3</v>
      </c>
      <c r="I299">
        <v>3.9318</v>
      </c>
      <c r="J299">
        <v>78</v>
      </c>
      <c r="K299">
        <v>31</v>
      </c>
    </row>
    <row r="300" spans="1:11" x14ac:dyDescent="0.25">
      <c r="A300">
        <v>55</v>
      </c>
      <c r="B300">
        <v>2</v>
      </c>
      <c r="C300">
        <v>22.9</v>
      </c>
      <c r="D300">
        <v>81</v>
      </c>
      <c r="E300">
        <v>123</v>
      </c>
      <c r="F300">
        <v>67.2</v>
      </c>
      <c r="G300">
        <v>41</v>
      </c>
      <c r="H300">
        <v>3</v>
      </c>
      <c r="I300">
        <v>4.3041</v>
      </c>
      <c r="J300">
        <v>88</v>
      </c>
      <c r="K300">
        <v>129</v>
      </c>
    </row>
    <row r="301" spans="1:11" x14ac:dyDescent="0.25">
      <c r="A301">
        <v>59</v>
      </c>
      <c r="B301">
        <v>2</v>
      </c>
      <c r="C301">
        <v>25.1</v>
      </c>
      <c r="D301">
        <v>90</v>
      </c>
      <c r="E301">
        <v>163</v>
      </c>
      <c r="F301">
        <v>101.4</v>
      </c>
      <c r="G301">
        <v>46</v>
      </c>
      <c r="H301">
        <v>4</v>
      </c>
      <c r="I301">
        <v>4.3567</v>
      </c>
      <c r="J301">
        <v>91</v>
      </c>
      <c r="K301">
        <v>83</v>
      </c>
    </row>
    <row r="302" spans="1:11" x14ac:dyDescent="0.25">
      <c r="A302">
        <v>53</v>
      </c>
      <c r="B302">
        <v>1</v>
      </c>
      <c r="C302">
        <v>33.200000000000003</v>
      </c>
      <c r="D302">
        <v>82.67</v>
      </c>
      <c r="E302">
        <v>186</v>
      </c>
      <c r="F302">
        <v>106.8</v>
      </c>
      <c r="G302">
        <v>46</v>
      </c>
      <c r="H302">
        <v>4.04</v>
      </c>
      <c r="I302">
        <v>5.1120000000000001</v>
      </c>
      <c r="J302">
        <v>102</v>
      </c>
      <c r="K302">
        <v>275</v>
      </c>
    </row>
    <row r="303" spans="1:11" x14ac:dyDescent="0.25">
      <c r="A303">
        <v>48</v>
      </c>
      <c r="B303">
        <v>2</v>
      </c>
      <c r="C303">
        <v>24.1</v>
      </c>
      <c r="D303">
        <v>110</v>
      </c>
      <c r="E303">
        <v>209</v>
      </c>
      <c r="F303">
        <v>134.6</v>
      </c>
      <c r="G303">
        <v>58</v>
      </c>
      <c r="H303">
        <v>4</v>
      </c>
      <c r="I303">
        <v>4.4066999999999998</v>
      </c>
      <c r="J303">
        <v>100</v>
      </c>
      <c r="K303">
        <v>65</v>
      </c>
    </row>
    <row r="304" spans="1:11" x14ac:dyDescent="0.25">
      <c r="A304">
        <v>52</v>
      </c>
      <c r="B304">
        <v>1</v>
      </c>
      <c r="C304">
        <v>29.5</v>
      </c>
      <c r="D304">
        <v>104.33</v>
      </c>
      <c r="E304">
        <v>211</v>
      </c>
      <c r="F304">
        <v>132.80000000000001</v>
      </c>
      <c r="G304">
        <v>49</v>
      </c>
      <c r="H304">
        <v>4.3099999999999996</v>
      </c>
      <c r="I304">
        <v>4.9836</v>
      </c>
      <c r="J304">
        <v>98</v>
      </c>
      <c r="K304">
        <v>198</v>
      </c>
    </row>
    <row r="305" spans="1:11" x14ac:dyDescent="0.25">
      <c r="A305">
        <v>69</v>
      </c>
      <c r="B305">
        <v>1</v>
      </c>
      <c r="C305">
        <v>29.6</v>
      </c>
      <c r="D305">
        <v>122</v>
      </c>
      <c r="E305">
        <v>231</v>
      </c>
      <c r="F305">
        <v>128.4</v>
      </c>
      <c r="G305">
        <v>56</v>
      </c>
      <c r="H305">
        <v>4</v>
      </c>
      <c r="I305">
        <v>5.4509999999999996</v>
      </c>
      <c r="J305">
        <v>86</v>
      </c>
      <c r="K305">
        <v>236</v>
      </c>
    </row>
    <row r="306" spans="1:11" x14ac:dyDescent="0.25">
      <c r="A306">
        <v>60</v>
      </c>
      <c r="B306">
        <v>2</v>
      </c>
      <c r="C306">
        <v>22.8</v>
      </c>
      <c r="D306">
        <v>110</v>
      </c>
      <c r="E306">
        <v>245</v>
      </c>
      <c r="F306">
        <v>189.8</v>
      </c>
      <c r="G306">
        <v>39</v>
      </c>
      <c r="H306">
        <v>6</v>
      </c>
      <c r="I306">
        <v>4.3944000000000001</v>
      </c>
      <c r="J306">
        <v>88</v>
      </c>
      <c r="K306">
        <v>253</v>
      </c>
    </row>
    <row r="307" spans="1:11" x14ac:dyDescent="0.25">
      <c r="A307">
        <v>46</v>
      </c>
      <c r="B307">
        <v>2</v>
      </c>
      <c r="C307">
        <v>22.7</v>
      </c>
      <c r="D307">
        <v>83</v>
      </c>
      <c r="E307">
        <v>183</v>
      </c>
      <c r="F307">
        <v>125.8</v>
      </c>
      <c r="G307">
        <v>32</v>
      </c>
      <c r="H307">
        <v>6</v>
      </c>
      <c r="I307">
        <v>4.8362999999999996</v>
      </c>
      <c r="J307">
        <v>75</v>
      </c>
      <c r="K307">
        <v>124</v>
      </c>
    </row>
    <row r="308" spans="1:11" x14ac:dyDescent="0.25">
      <c r="A308">
        <v>51</v>
      </c>
      <c r="B308">
        <v>2</v>
      </c>
      <c r="C308">
        <v>26.2</v>
      </c>
      <c r="D308">
        <v>101</v>
      </c>
      <c r="E308">
        <v>161</v>
      </c>
      <c r="F308">
        <v>99.6</v>
      </c>
      <c r="G308">
        <v>48</v>
      </c>
      <c r="H308">
        <v>3</v>
      </c>
      <c r="I308">
        <v>4.2046999999999999</v>
      </c>
      <c r="J308">
        <v>88</v>
      </c>
      <c r="K308">
        <v>44</v>
      </c>
    </row>
    <row r="309" spans="1:11" x14ac:dyDescent="0.25">
      <c r="A309">
        <v>67</v>
      </c>
      <c r="B309">
        <v>2</v>
      </c>
      <c r="C309">
        <v>23.5</v>
      </c>
      <c r="D309">
        <v>96</v>
      </c>
      <c r="E309">
        <v>207</v>
      </c>
      <c r="F309">
        <v>138.19999999999999</v>
      </c>
      <c r="G309">
        <v>42</v>
      </c>
      <c r="H309">
        <v>5</v>
      </c>
      <c r="I309">
        <v>4.8978000000000002</v>
      </c>
      <c r="J309">
        <v>111</v>
      </c>
      <c r="K309">
        <v>172</v>
      </c>
    </row>
    <row r="310" spans="1:11" x14ac:dyDescent="0.25">
      <c r="A310">
        <v>49</v>
      </c>
      <c r="B310">
        <v>1</v>
      </c>
      <c r="C310">
        <v>22.1</v>
      </c>
      <c r="D310">
        <v>85</v>
      </c>
      <c r="E310">
        <v>136</v>
      </c>
      <c r="F310">
        <v>63.4</v>
      </c>
      <c r="G310">
        <v>62</v>
      </c>
      <c r="H310">
        <v>2.19</v>
      </c>
      <c r="I310">
        <v>3.9702999999999999</v>
      </c>
      <c r="J310">
        <v>72</v>
      </c>
      <c r="K310">
        <v>114</v>
      </c>
    </row>
    <row r="311" spans="1:11" x14ac:dyDescent="0.25">
      <c r="A311">
        <v>46</v>
      </c>
      <c r="B311">
        <v>2</v>
      </c>
      <c r="C311">
        <v>26.5</v>
      </c>
      <c r="D311">
        <v>94</v>
      </c>
      <c r="E311">
        <v>247</v>
      </c>
      <c r="F311">
        <v>160.19999999999999</v>
      </c>
      <c r="G311">
        <v>59</v>
      </c>
      <c r="H311">
        <v>4</v>
      </c>
      <c r="I311">
        <v>4.9344999999999999</v>
      </c>
      <c r="J311">
        <v>111</v>
      </c>
      <c r="K311">
        <v>142</v>
      </c>
    </row>
    <row r="312" spans="1:11" x14ac:dyDescent="0.25">
      <c r="A312">
        <v>47</v>
      </c>
      <c r="B312">
        <v>1</v>
      </c>
      <c r="C312">
        <v>32.4</v>
      </c>
      <c r="D312">
        <v>105</v>
      </c>
      <c r="E312">
        <v>188</v>
      </c>
      <c r="F312">
        <v>125</v>
      </c>
      <c r="G312">
        <v>46</v>
      </c>
      <c r="H312">
        <v>4.09</v>
      </c>
      <c r="I312">
        <v>4.4427000000000003</v>
      </c>
      <c r="J312">
        <v>99</v>
      </c>
      <c r="K312">
        <v>109</v>
      </c>
    </row>
    <row r="313" spans="1:11" x14ac:dyDescent="0.25">
      <c r="A313">
        <v>75</v>
      </c>
      <c r="B313">
        <v>1</v>
      </c>
      <c r="C313">
        <v>30.1</v>
      </c>
      <c r="D313">
        <v>78</v>
      </c>
      <c r="E313">
        <v>222</v>
      </c>
      <c r="F313">
        <v>154.19999999999999</v>
      </c>
      <c r="G313">
        <v>44</v>
      </c>
      <c r="H313">
        <v>5.05</v>
      </c>
      <c r="I313">
        <v>4.7790999999999997</v>
      </c>
      <c r="J313">
        <v>97</v>
      </c>
      <c r="K313">
        <v>180</v>
      </c>
    </row>
    <row r="314" spans="1:11" x14ac:dyDescent="0.25">
      <c r="A314">
        <v>28</v>
      </c>
      <c r="B314">
        <v>1</v>
      </c>
      <c r="C314">
        <v>24.2</v>
      </c>
      <c r="D314">
        <v>93</v>
      </c>
      <c r="E314">
        <v>174</v>
      </c>
      <c r="F314">
        <v>106.4</v>
      </c>
      <c r="G314">
        <v>54</v>
      </c>
      <c r="H314">
        <v>3</v>
      </c>
      <c r="I314">
        <v>4.2195</v>
      </c>
      <c r="J314">
        <v>84</v>
      </c>
      <c r="K314">
        <v>144</v>
      </c>
    </row>
    <row r="315" spans="1:11" x14ac:dyDescent="0.25">
      <c r="A315">
        <v>65</v>
      </c>
      <c r="B315">
        <v>2</v>
      </c>
      <c r="C315">
        <v>31.3</v>
      </c>
      <c r="D315">
        <v>110</v>
      </c>
      <c r="E315">
        <v>213</v>
      </c>
      <c r="F315">
        <v>128</v>
      </c>
      <c r="G315">
        <v>47</v>
      </c>
      <c r="H315">
        <v>5</v>
      </c>
      <c r="I315">
        <v>5.2469999999999999</v>
      </c>
      <c r="J315">
        <v>91</v>
      </c>
      <c r="K315">
        <v>163</v>
      </c>
    </row>
    <row r="316" spans="1:11" x14ac:dyDescent="0.25">
      <c r="A316">
        <v>42</v>
      </c>
      <c r="B316">
        <v>1</v>
      </c>
      <c r="C316">
        <v>30.1</v>
      </c>
      <c r="D316">
        <v>91</v>
      </c>
      <c r="E316">
        <v>182</v>
      </c>
      <c r="F316">
        <v>114.8</v>
      </c>
      <c r="G316">
        <v>49</v>
      </c>
      <c r="H316">
        <v>4</v>
      </c>
      <c r="I316">
        <v>4.5109000000000004</v>
      </c>
      <c r="J316">
        <v>82</v>
      </c>
      <c r="K316">
        <v>147</v>
      </c>
    </row>
    <row r="317" spans="1:11" x14ac:dyDescent="0.25">
      <c r="A317">
        <v>51</v>
      </c>
      <c r="B317">
        <v>1</v>
      </c>
      <c r="C317">
        <v>24.5</v>
      </c>
      <c r="D317">
        <v>79</v>
      </c>
      <c r="E317">
        <v>212</v>
      </c>
      <c r="F317">
        <v>128.6</v>
      </c>
      <c r="G317">
        <v>65</v>
      </c>
      <c r="H317">
        <v>3</v>
      </c>
      <c r="I317">
        <v>4.5217999999999998</v>
      </c>
      <c r="J317">
        <v>91</v>
      </c>
      <c r="K317">
        <v>97</v>
      </c>
    </row>
    <row r="318" spans="1:11" x14ac:dyDescent="0.25">
      <c r="A318">
        <v>53</v>
      </c>
      <c r="B318">
        <v>2</v>
      </c>
      <c r="C318">
        <v>27.7</v>
      </c>
      <c r="D318">
        <v>95</v>
      </c>
      <c r="E318">
        <v>190</v>
      </c>
      <c r="F318">
        <v>101.8</v>
      </c>
      <c r="G318">
        <v>41</v>
      </c>
      <c r="H318">
        <v>5</v>
      </c>
      <c r="I318">
        <v>5.4638</v>
      </c>
      <c r="J318">
        <v>101</v>
      </c>
      <c r="K318">
        <v>220</v>
      </c>
    </row>
    <row r="319" spans="1:11" x14ac:dyDescent="0.25">
      <c r="A319">
        <v>54</v>
      </c>
      <c r="B319">
        <v>1</v>
      </c>
      <c r="C319">
        <v>23.2</v>
      </c>
      <c r="D319">
        <v>110.67</v>
      </c>
      <c r="E319">
        <v>238</v>
      </c>
      <c r="F319">
        <v>162.80000000000001</v>
      </c>
      <c r="G319">
        <v>48</v>
      </c>
      <c r="H319">
        <v>4.96</v>
      </c>
      <c r="I319">
        <v>4.9127000000000001</v>
      </c>
      <c r="J319">
        <v>108</v>
      </c>
      <c r="K319">
        <v>190</v>
      </c>
    </row>
    <row r="320" spans="1:11" x14ac:dyDescent="0.25">
      <c r="A320">
        <v>73</v>
      </c>
      <c r="B320">
        <v>1</v>
      </c>
      <c r="C320">
        <v>27</v>
      </c>
      <c r="D320">
        <v>102</v>
      </c>
      <c r="E320">
        <v>211</v>
      </c>
      <c r="F320">
        <v>121</v>
      </c>
      <c r="G320">
        <v>67</v>
      </c>
      <c r="H320">
        <v>3</v>
      </c>
      <c r="I320">
        <v>4.7449000000000003</v>
      </c>
      <c r="J320">
        <v>99</v>
      </c>
      <c r="K320">
        <v>109</v>
      </c>
    </row>
    <row r="321" spans="1:11" x14ac:dyDescent="0.25">
      <c r="A321">
        <v>54</v>
      </c>
      <c r="B321">
        <v>1</v>
      </c>
      <c r="C321">
        <v>26.8</v>
      </c>
      <c r="D321">
        <v>108</v>
      </c>
      <c r="E321">
        <v>176</v>
      </c>
      <c r="F321">
        <v>80.599999999999994</v>
      </c>
      <c r="G321">
        <v>67</v>
      </c>
      <c r="H321">
        <v>3</v>
      </c>
      <c r="I321">
        <v>4.9558</v>
      </c>
      <c r="J321">
        <v>106</v>
      </c>
      <c r="K321">
        <v>191</v>
      </c>
    </row>
    <row r="322" spans="1:11" x14ac:dyDescent="0.25">
      <c r="A322">
        <v>42</v>
      </c>
      <c r="B322">
        <v>1</v>
      </c>
      <c r="C322">
        <v>29.2</v>
      </c>
      <c r="D322">
        <v>93</v>
      </c>
      <c r="E322">
        <v>249</v>
      </c>
      <c r="F322">
        <v>174.2</v>
      </c>
      <c r="G322">
        <v>45</v>
      </c>
      <c r="H322">
        <v>6</v>
      </c>
      <c r="I322">
        <v>5.0038999999999998</v>
      </c>
      <c r="J322">
        <v>92</v>
      </c>
      <c r="K322">
        <v>122</v>
      </c>
    </row>
    <row r="323" spans="1:11" x14ac:dyDescent="0.25">
      <c r="A323">
        <v>75</v>
      </c>
      <c r="B323">
        <v>1</v>
      </c>
      <c r="C323">
        <v>31.2</v>
      </c>
      <c r="D323">
        <v>117.67</v>
      </c>
      <c r="E323">
        <v>229</v>
      </c>
      <c r="F323">
        <v>138.80000000000001</v>
      </c>
      <c r="G323">
        <v>29</v>
      </c>
      <c r="H323">
        <v>7.9</v>
      </c>
      <c r="I323">
        <v>5.7236000000000002</v>
      </c>
      <c r="J323">
        <v>106</v>
      </c>
      <c r="K323">
        <v>230</v>
      </c>
    </row>
    <row r="324" spans="1:11" x14ac:dyDescent="0.25">
      <c r="A324">
        <v>55</v>
      </c>
      <c r="B324">
        <v>2</v>
      </c>
      <c r="C324">
        <v>32.1</v>
      </c>
      <c r="D324">
        <v>112.67</v>
      </c>
      <c r="E324">
        <v>207</v>
      </c>
      <c r="F324">
        <v>92.4</v>
      </c>
      <c r="G324">
        <v>25</v>
      </c>
      <c r="H324">
        <v>8.2799999999999994</v>
      </c>
      <c r="I324">
        <v>6.1048</v>
      </c>
      <c r="J324">
        <v>111</v>
      </c>
      <c r="K324">
        <v>242</v>
      </c>
    </row>
    <row r="325" spans="1:11" x14ac:dyDescent="0.25">
      <c r="A325">
        <v>68</v>
      </c>
      <c r="B325">
        <v>2</v>
      </c>
      <c r="C325">
        <v>25.7</v>
      </c>
      <c r="D325">
        <v>109</v>
      </c>
      <c r="E325">
        <v>233</v>
      </c>
      <c r="F325">
        <v>112.6</v>
      </c>
      <c r="G325">
        <v>35</v>
      </c>
      <c r="H325">
        <v>7</v>
      </c>
      <c r="I325">
        <v>6.0568</v>
      </c>
      <c r="J325">
        <v>105</v>
      </c>
      <c r="K325">
        <v>248</v>
      </c>
    </row>
    <row r="326" spans="1:11" x14ac:dyDescent="0.25">
      <c r="A326">
        <v>57</v>
      </c>
      <c r="B326">
        <v>1</v>
      </c>
      <c r="C326">
        <v>26.9</v>
      </c>
      <c r="D326">
        <v>98</v>
      </c>
      <c r="E326">
        <v>246</v>
      </c>
      <c r="F326">
        <v>165.2</v>
      </c>
      <c r="G326">
        <v>38</v>
      </c>
      <c r="H326">
        <v>7</v>
      </c>
      <c r="I326">
        <v>5.3659999999999997</v>
      </c>
      <c r="J326">
        <v>96</v>
      </c>
      <c r="K326">
        <v>249</v>
      </c>
    </row>
    <row r="327" spans="1:11" x14ac:dyDescent="0.25">
      <c r="A327">
        <v>48</v>
      </c>
      <c r="B327">
        <v>1</v>
      </c>
      <c r="C327">
        <v>31.4</v>
      </c>
      <c r="D327">
        <v>75.33</v>
      </c>
      <c r="E327">
        <v>242</v>
      </c>
      <c r="F327">
        <v>151.6</v>
      </c>
      <c r="G327">
        <v>38</v>
      </c>
      <c r="H327">
        <v>6.37</v>
      </c>
      <c r="I327">
        <v>5.5682999999999998</v>
      </c>
      <c r="J327">
        <v>103</v>
      </c>
      <c r="K327">
        <v>192</v>
      </c>
    </row>
    <row r="328" spans="1:11" x14ac:dyDescent="0.25">
      <c r="A328">
        <v>61</v>
      </c>
      <c r="B328">
        <v>2</v>
      </c>
      <c r="C328">
        <v>25.6</v>
      </c>
      <c r="D328">
        <v>85</v>
      </c>
      <c r="E328">
        <v>184</v>
      </c>
      <c r="F328">
        <v>116.2</v>
      </c>
      <c r="G328">
        <v>39</v>
      </c>
      <c r="H328">
        <v>5</v>
      </c>
      <c r="I328">
        <v>4.9698000000000002</v>
      </c>
      <c r="J328">
        <v>98</v>
      </c>
      <c r="K328">
        <v>131</v>
      </c>
    </row>
    <row r="329" spans="1:11" x14ac:dyDescent="0.25">
      <c r="A329">
        <v>69</v>
      </c>
      <c r="B329">
        <v>1</v>
      </c>
      <c r="C329">
        <v>37</v>
      </c>
      <c r="D329">
        <v>103</v>
      </c>
      <c r="E329">
        <v>207</v>
      </c>
      <c r="F329">
        <v>131.4</v>
      </c>
      <c r="G329">
        <v>55</v>
      </c>
      <c r="H329">
        <v>4</v>
      </c>
      <c r="I329">
        <v>4.6346999999999996</v>
      </c>
      <c r="J329">
        <v>90</v>
      </c>
      <c r="K329">
        <v>237</v>
      </c>
    </row>
    <row r="330" spans="1:11" x14ac:dyDescent="0.25">
      <c r="A330">
        <v>38</v>
      </c>
      <c r="B330">
        <v>1</v>
      </c>
      <c r="C330">
        <v>32.6</v>
      </c>
      <c r="D330">
        <v>77</v>
      </c>
      <c r="E330">
        <v>168</v>
      </c>
      <c r="F330">
        <v>100.6</v>
      </c>
      <c r="G330">
        <v>47</v>
      </c>
      <c r="H330">
        <v>4</v>
      </c>
      <c r="I330">
        <v>4.625</v>
      </c>
      <c r="J330">
        <v>96</v>
      </c>
      <c r="K330">
        <v>78</v>
      </c>
    </row>
    <row r="331" spans="1:11" x14ac:dyDescent="0.25">
      <c r="A331">
        <v>45</v>
      </c>
      <c r="B331">
        <v>2</v>
      </c>
      <c r="C331">
        <v>21.2</v>
      </c>
      <c r="D331">
        <v>94</v>
      </c>
      <c r="E331">
        <v>169</v>
      </c>
      <c r="F331">
        <v>96.8</v>
      </c>
      <c r="G331">
        <v>55</v>
      </c>
      <c r="H331">
        <v>3</v>
      </c>
      <c r="I331">
        <v>4.4542999999999999</v>
      </c>
      <c r="J331">
        <v>102</v>
      </c>
      <c r="K331">
        <v>135</v>
      </c>
    </row>
    <row r="332" spans="1:11" x14ac:dyDescent="0.25">
      <c r="A332">
        <v>51</v>
      </c>
      <c r="B332">
        <v>2</v>
      </c>
      <c r="C332">
        <v>29.2</v>
      </c>
      <c r="D332">
        <v>107</v>
      </c>
      <c r="E332">
        <v>187</v>
      </c>
      <c r="F332">
        <v>139</v>
      </c>
      <c r="G332">
        <v>32</v>
      </c>
      <c r="H332">
        <v>6</v>
      </c>
      <c r="I332">
        <v>4.3819999999999997</v>
      </c>
      <c r="J332">
        <v>95</v>
      </c>
      <c r="K332">
        <v>244</v>
      </c>
    </row>
    <row r="333" spans="1:11" x14ac:dyDescent="0.25">
      <c r="A333">
        <v>71</v>
      </c>
      <c r="B333">
        <v>2</v>
      </c>
      <c r="C333">
        <v>24</v>
      </c>
      <c r="D333">
        <v>84</v>
      </c>
      <c r="E333">
        <v>138</v>
      </c>
      <c r="F333">
        <v>85.8</v>
      </c>
      <c r="G333">
        <v>39</v>
      </c>
      <c r="H333">
        <v>4</v>
      </c>
      <c r="I333">
        <v>4.1897000000000002</v>
      </c>
      <c r="J333">
        <v>90</v>
      </c>
      <c r="K333">
        <v>199</v>
      </c>
    </row>
    <row r="334" spans="1:11" x14ac:dyDescent="0.25">
      <c r="A334">
        <v>57</v>
      </c>
      <c r="B334">
        <v>1</v>
      </c>
      <c r="C334">
        <v>36.1</v>
      </c>
      <c r="D334">
        <v>117</v>
      </c>
      <c r="E334">
        <v>181</v>
      </c>
      <c r="F334">
        <v>108.2</v>
      </c>
      <c r="G334">
        <v>34</v>
      </c>
      <c r="H334">
        <v>5</v>
      </c>
      <c r="I334">
        <v>5.2679</v>
      </c>
      <c r="J334">
        <v>100</v>
      </c>
      <c r="K334">
        <v>270</v>
      </c>
    </row>
    <row r="335" spans="1:11" x14ac:dyDescent="0.25">
      <c r="A335">
        <v>56</v>
      </c>
      <c r="B335">
        <v>2</v>
      </c>
      <c r="C335">
        <v>25.8</v>
      </c>
      <c r="D335">
        <v>103</v>
      </c>
      <c r="E335">
        <v>177</v>
      </c>
      <c r="F335">
        <v>114.4</v>
      </c>
      <c r="G335">
        <v>34</v>
      </c>
      <c r="H335">
        <v>5</v>
      </c>
      <c r="I335">
        <v>4.9627999999999997</v>
      </c>
      <c r="J335">
        <v>99</v>
      </c>
      <c r="K335">
        <v>164</v>
      </c>
    </row>
    <row r="336" spans="1:11" x14ac:dyDescent="0.25">
      <c r="A336">
        <v>32</v>
      </c>
      <c r="B336">
        <v>2</v>
      </c>
      <c r="C336">
        <v>22</v>
      </c>
      <c r="D336">
        <v>88</v>
      </c>
      <c r="E336">
        <v>137</v>
      </c>
      <c r="F336">
        <v>78.599999999999994</v>
      </c>
      <c r="G336">
        <v>48</v>
      </c>
      <c r="H336">
        <v>3</v>
      </c>
      <c r="I336">
        <v>3.9512</v>
      </c>
      <c r="J336">
        <v>78</v>
      </c>
      <c r="K336">
        <v>72</v>
      </c>
    </row>
    <row r="337" spans="1:11" x14ac:dyDescent="0.25">
      <c r="A337">
        <v>50</v>
      </c>
      <c r="B337">
        <v>1</v>
      </c>
      <c r="C337">
        <v>21.9</v>
      </c>
      <c r="D337">
        <v>91</v>
      </c>
      <c r="E337">
        <v>190</v>
      </c>
      <c r="F337">
        <v>111.2</v>
      </c>
      <c r="G337">
        <v>67</v>
      </c>
      <c r="H337">
        <v>3</v>
      </c>
      <c r="I337">
        <v>4.0774999999999997</v>
      </c>
      <c r="J337">
        <v>77</v>
      </c>
      <c r="K337">
        <v>96</v>
      </c>
    </row>
    <row r="338" spans="1:11" x14ac:dyDescent="0.25">
      <c r="A338">
        <v>43</v>
      </c>
      <c r="B338">
        <v>1</v>
      </c>
      <c r="C338">
        <v>34.299999999999997</v>
      </c>
      <c r="D338">
        <v>84</v>
      </c>
      <c r="E338">
        <v>256</v>
      </c>
      <c r="F338">
        <v>172.6</v>
      </c>
      <c r="G338">
        <v>33</v>
      </c>
      <c r="H338">
        <v>8</v>
      </c>
      <c r="I338">
        <v>5.5293999999999999</v>
      </c>
      <c r="J338">
        <v>104</v>
      </c>
      <c r="K338">
        <v>306</v>
      </c>
    </row>
    <row r="339" spans="1:11" x14ac:dyDescent="0.25">
      <c r="A339">
        <v>54</v>
      </c>
      <c r="B339">
        <v>2</v>
      </c>
      <c r="C339">
        <v>25.2</v>
      </c>
      <c r="D339">
        <v>115</v>
      </c>
      <c r="E339">
        <v>181</v>
      </c>
      <c r="F339">
        <v>120</v>
      </c>
      <c r="G339">
        <v>39</v>
      </c>
      <c r="H339">
        <v>5</v>
      </c>
      <c r="I339">
        <v>4.7004999999999999</v>
      </c>
      <c r="J339">
        <v>92</v>
      </c>
      <c r="K339">
        <v>91</v>
      </c>
    </row>
    <row r="340" spans="1:11" x14ac:dyDescent="0.25">
      <c r="A340">
        <v>31</v>
      </c>
      <c r="B340">
        <v>1</v>
      </c>
      <c r="C340">
        <v>23.3</v>
      </c>
      <c r="D340">
        <v>85</v>
      </c>
      <c r="E340">
        <v>190</v>
      </c>
      <c r="F340">
        <v>130.80000000000001</v>
      </c>
      <c r="G340">
        <v>43</v>
      </c>
      <c r="H340">
        <v>4</v>
      </c>
      <c r="I340">
        <v>4.3944000000000001</v>
      </c>
      <c r="J340">
        <v>77</v>
      </c>
      <c r="K340">
        <v>214</v>
      </c>
    </row>
    <row r="341" spans="1:11" x14ac:dyDescent="0.25">
      <c r="A341">
        <v>56</v>
      </c>
      <c r="B341">
        <v>1</v>
      </c>
      <c r="C341">
        <v>25.7</v>
      </c>
      <c r="D341">
        <v>80</v>
      </c>
      <c r="E341">
        <v>244</v>
      </c>
      <c r="F341">
        <v>151.6</v>
      </c>
      <c r="G341">
        <v>59</v>
      </c>
      <c r="H341">
        <v>4</v>
      </c>
      <c r="I341">
        <v>5.1180000000000003</v>
      </c>
      <c r="J341">
        <v>95</v>
      </c>
      <c r="K341">
        <v>95</v>
      </c>
    </row>
    <row r="342" spans="1:11" x14ac:dyDescent="0.25">
      <c r="A342">
        <v>44</v>
      </c>
      <c r="B342">
        <v>1</v>
      </c>
      <c r="C342">
        <v>25.1</v>
      </c>
      <c r="D342">
        <v>133</v>
      </c>
      <c r="E342">
        <v>182</v>
      </c>
      <c r="F342">
        <v>113</v>
      </c>
      <c r="G342">
        <v>55</v>
      </c>
      <c r="H342">
        <v>3</v>
      </c>
      <c r="I342">
        <v>4.2484999999999999</v>
      </c>
      <c r="J342">
        <v>84</v>
      </c>
      <c r="K342">
        <v>216</v>
      </c>
    </row>
    <row r="343" spans="1:11" x14ac:dyDescent="0.25">
      <c r="A343">
        <v>57</v>
      </c>
      <c r="B343">
        <v>2</v>
      </c>
      <c r="C343">
        <v>31.9</v>
      </c>
      <c r="D343">
        <v>111</v>
      </c>
      <c r="E343">
        <v>173</v>
      </c>
      <c r="F343">
        <v>116.2</v>
      </c>
      <c r="G343">
        <v>41</v>
      </c>
      <c r="H343">
        <v>4</v>
      </c>
      <c r="I343">
        <v>4.3693999999999997</v>
      </c>
      <c r="J343">
        <v>87</v>
      </c>
      <c r="K343">
        <v>263</v>
      </c>
    </row>
    <row r="344" spans="1:11" x14ac:dyDescent="0.25">
      <c r="A344">
        <v>64</v>
      </c>
      <c r="B344">
        <v>2</v>
      </c>
      <c r="C344">
        <v>28.4</v>
      </c>
      <c r="D344">
        <v>111</v>
      </c>
      <c r="E344">
        <v>184</v>
      </c>
      <c r="F344">
        <v>127</v>
      </c>
      <c r="G344">
        <v>41</v>
      </c>
      <c r="H344">
        <v>4</v>
      </c>
      <c r="I344">
        <v>4.3819999999999997</v>
      </c>
      <c r="J344">
        <v>97</v>
      </c>
      <c r="K344">
        <v>178</v>
      </c>
    </row>
    <row r="345" spans="1:11" x14ac:dyDescent="0.25">
      <c r="A345">
        <v>43</v>
      </c>
      <c r="B345">
        <v>1</v>
      </c>
      <c r="C345">
        <v>28.1</v>
      </c>
      <c r="D345">
        <v>121</v>
      </c>
      <c r="E345">
        <v>192</v>
      </c>
      <c r="F345">
        <v>121</v>
      </c>
      <c r="G345">
        <v>60</v>
      </c>
      <c r="H345">
        <v>3</v>
      </c>
      <c r="I345">
        <v>4.0072999999999999</v>
      </c>
      <c r="J345">
        <v>93</v>
      </c>
      <c r="K345">
        <v>113</v>
      </c>
    </row>
    <row r="346" spans="1:11" x14ac:dyDescent="0.25">
      <c r="A346">
        <v>19</v>
      </c>
      <c r="B346">
        <v>1</v>
      </c>
      <c r="C346">
        <v>25.3</v>
      </c>
      <c r="D346">
        <v>83</v>
      </c>
      <c r="E346">
        <v>225</v>
      </c>
      <c r="F346">
        <v>156.6</v>
      </c>
      <c r="G346">
        <v>46</v>
      </c>
      <c r="H346">
        <v>5</v>
      </c>
      <c r="I346">
        <v>4.7184999999999997</v>
      </c>
      <c r="J346">
        <v>84</v>
      </c>
      <c r="K346">
        <v>200</v>
      </c>
    </row>
    <row r="347" spans="1:11" x14ac:dyDescent="0.25">
      <c r="A347">
        <v>71</v>
      </c>
      <c r="B347">
        <v>2</v>
      </c>
      <c r="C347">
        <v>26.1</v>
      </c>
      <c r="D347">
        <v>85</v>
      </c>
      <c r="E347">
        <v>220</v>
      </c>
      <c r="F347">
        <v>152.4</v>
      </c>
      <c r="G347">
        <v>47</v>
      </c>
      <c r="H347">
        <v>5</v>
      </c>
      <c r="I347">
        <v>4.6346999999999996</v>
      </c>
      <c r="J347">
        <v>91</v>
      </c>
      <c r="K347">
        <v>139</v>
      </c>
    </row>
    <row r="348" spans="1:11" x14ac:dyDescent="0.25">
      <c r="A348">
        <v>50</v>
      </c>
      <c r="B348">
        <v>2</v>
      </c>
      <c r="C348">
        <v>28</v>
      </c>
      <c r="D348">
        <v>104</v>
      </c>
      <c r="E348">
        <v>282</v>
      </c>
      <c r="F348">
        <v>196.8</v>
      </c>
      <c r="G348">
        <v>44</v>
      </c>
      <c r="H348">
        <v>6</v>
      </c>
      <c r="I348">
        <v>5.3278999999999996</v>
      </c>
      <c r="J348">
        <v>95</v>
      </c>
      <c r="K348">
        <v>139</v>
      </c>
    </row>
    <row r="349" spans="1:11" x14ac:dyDescent="0.25">
      <c r="A349">
        <v>59</v>
      </c>
      <c r="B349">
        <v>2</v>
      </c>
      <c r="C349">
        <v>23.6</v>
      </c>
      <c r="D349">
        <v>73</v>
      </c>
      <c r="E349">
        <v>180</v>
      </c>
      <c r="F349">
        <v>107.4</v>
      </c>
      <c r="G349">
        <v>51</v>
      </c>
      <c r="H349">
        <v>4</v>
      </c>
      <c r="I349">
        <v>4.6821000000000002</v>
      </c>
      <c r="J349">
        <v>84</v>
      </c>
      <c r="K349">
        <v>88</v>
      </c>
    </row>
    <row r="350" spans="1:11" x14ac:dyDescent="0.25">
      <c r="A350">
        <v>57</v>
      </c>
      <c r="B350">
        <v>1</v>
      </c>
      <c r="C350">
        <v>24.5</v>
      </c>
      <c r="D350">
        <v>93</v>
      </c>
      <c r="E350">
        <v>186</v>
      </c>
      <c r="F350">
        <v>96.6</v>
      </c>
      <c r="G350">
        <v>71</v>
      </c>
      <c r="H350">
        <v>3</v>
      </c>
      <c r="I350">
        <v>4.5217999999999998</v>
      </c>
      <c r="J350">
        <v>91</v>
      </c>
      <c r="K350">
        <v>148</v>
      </c>
    </row>
    <row r="351" spans="1:11" x14ac:dyDescent="0.25">
      <c r="A351">
        <v>49</v>
      </c>
      <c r="B351">
        <v>2</v>
      </c>
      <c r="C351">
        <v>21</v>
      </c>
      <c r="D351">
        <v>82</v>
      </c>
      <c r="E351">
        <v>119</v>
      </c>
      <c r="F351">
        <v>85.4</v>
      </c>
      <c r="G351">
        <v>23</v>
      </c>
      <c r="H351">
        <v>5</v>
      </c>
      <c r="I351">
        <v>3.9702999999999999</v>
      </c>
      <c r="J351">
        <v>74</v>
      </c>
      <c r="K351">
        <v>88</v>
      </c>
    </row>
    <row r="352" spans="1:11" x14ac:dyDescent="0.25">
      <c r="A352">
        <v>41</v>
      </c>
      <c r="B352">
        <v>2</v>
      </c>
      <c r="C352">
        <v>32</v>
      </c>
      <c r="D352">
        <v>126</v>
      </c>
      <c r="E352">
        <v>198</v>
      </c>
      <c r="F352">
        <v>104.2</v>
      </c>
      <c r="G352">
        <v>49</v>
      </c>
      <c r="H352">
        <v>4</v>
      </c>
      <c r="I352">
        <v>5.4116</v>
      </c>
      <c r="J352">
        <v>124</v>
      </c>
      <c r="K352">
        <v>243</v>
      </c>
    </row>
    <row r="353" spans="1:11" x14ac:dyDescent="0.25">
      <c r="A353">
        <v>25</v>
      </c>
      <c r="B353">
        <v>2</v>
      </c>
      <c r="C353">
        <v>22.6</v>
      </c>
      <c r="D353">
        <v>85</v>
      </c>
      <c r="E353">
        <v>130</v>
      </c>
      <c r="F353">
        <v>71</v>
      </c>
      <c r="G353">
        <v>48</v>
      </c>
      <c r="H353">
        <v>3</v>
      </c>
      <c r="I353">
        <v>4.0072999999999999</v>
      </c>
      <c r="J353">
        <v>81</v>
      </c>
      <c r="K353">
        <v>71</v>
      </c>
    </row>
    <row r="354" spans="1:11" x14ac:dyDescent="0.25">
      <c r="A354">
        <v>52</v>
      </c>
      <c r="B354">
        <v>2</v>
      </c>
      <c r="C354">
        <v>19.7</v>
      </c>
      <c r="D354">
        <v>81</v>
      </c>
      <c r="E354">
        <v>152</v>
      </c>
      <c r="F354">
        <v>53.4</v>
      </c>
      <c r="G354">
        <v>82</v>
      </c>
      <c r="H354">
        <v>2</v>
      </c>
      <c r="I354">
        <v>4.4188000000000001</v>
      </c>
      <c r="J354">
        <v>82</v>
      </c>
      <c r="K354">
        <v>77</v>
      </c>
    </row>
    <row r="355" spans="1:11" x14ac:dyDescent="0.25">
      <c r="A355">
        <v>34</v>
      </c>
      <c r="B355">
        <v>1</v>
      </c>
      <c r="C355">
        <v>21.2</v>
      </c>
      <c r="D355">
        <v>84</v>
      </c>
      <c r="E355">
        <v>254</v>
      </c>
      <c r="F355">
        <v>113.4</v>
      </c>
      <c r="G355">
        <v>52</v>
      </c>
      <c r="H355">
        <v>5</v>
      </c>
      <c r="I355">
        <v>6.0936000000000003</v>
      </c>
      <c r="J355">
        <v>92</v>
      </c>
      <c r="K355">
        <v>109</v>
      </c>
    </row>
    <row r="356" spans="1:11" x14ac:dyDescent="0.25">
      <c r="A356">
        <v>42</v>
      </c>
      <c r="B356">
        <v>2</v>
      </c>
      <c r="C356">
        <v>30.6</v>
      </c>
      <c r="D356">
        <v>101</v>
      </c>
      <c r="E356">
        <v>269</v>
      </c>
      <c r="F356">
        <v>172.2</v>
      </c>
      <c r="G356">
        <v>50</v>
      </c>
      <c r="H356">
        <v>5</v>
      </c>
      <c r="I356">
        <v>5.4553000000000003</v>
      </c>
      <c r="J356">
        <v>106</v>
      </c>
      <c r="K356">
        <v>272</v>
      </c>
    </row>
    <row r="357" spans="1:11" x14ac:dyDescent="0.25">
      <c r="A357">
        <v>28</v>
      </c>
      <c r="B357">
        <v>2</v>
      </c>
      <c r="C357">
        <v>25.5</v>
      </c>
      <c r="D357">
        <v>99</v>
      </c>
      <c r="E357">
        <v>162</v>
      </c>
      <c r="F357">
        <v>101.6</v>
      </c>
      <c r="G357">
        <v>46</v>
      </c>
      <c r="H357">
        <v>4</v>
      </c>
      <c r="I357">
        <v>4.2766999999999999</v>
      </c>
      <c r="J357">
        <v>94</v>
      </c>
      <c r="K357">
        <v>60</v>
      </c>
    </row>
    <row r="358" spans="1:11" x14ac:dyDescent="0.25">
      <c r="A358">
        <v>47</v>
      </c>
      <c r="B358">
        <v>2</v>
      </c>
      <c r="C358">
        <v>23.3</v>
      </c>
      <c r="D358">
        <v>90</v>
      </c>
      <c r="E358">
        <v>195</v>
      </c>
      <c r="F358">
        <v>125.8</v>
      </c>
      <c r="G358">
        <v>54</v>
      </c>
      <c r="H358">
        <v>4</v>
      </c>
      <c r="I358">
        <v>4.3307000000000002</v>
      </c>
      <c r="J358">
        <v>73</v>
      </c>
      <c r="K358">
        <v>54</v>
      </c>
    </row>
    <row r="359" spans="1:11" x14ac:dyDescent="0.25">
      <c r="A359">
        <v>32</v>
      </c>
      <c r="B359">
        <v>2</v>
      </c>
      <c r="C359">
        <v>31</v>
      </c>
      <c r="D359">
        <v>100</v>
      </c>
      <c r="E359">
        <v>177</v>
      </c>
      <c r="F359">
        <v>96.2</v>
      </c>
      <c r="G359">
        <v>45</v>
      </c>
      <c r="H359">
        <v>4</v>
      </c>
      <c r="I359">
        <v>5.1874000000000002</v>
      </c>
      <c r="J359">
        <v>77</v>
      </c>
      <c r="K359">
        <v>221</v>
      </c>
    </row>
    <row r="360" spans="1:11" x14ac:dyDescent="0.25">
      <c r="A360">
        <v>43</v>
      </c>
      <c r="B360">
        <v>1</v>
      </c>
      <c r="C360">
        <v>18.5</v>
      </c>
      <c r="D360">
        <v>87</v>
      </c>
      <c r="E360">
        <v>163</v>
      </c>
      <c r="F360">
        <v>93.6</v>
      </c>
      <c r="G360">
        <v>61</v>
      </c>
      <c r="H360">
        <v>2.67</v>
      </c>
      <c r="I360">
        <v>3.7376999999999998</v>
      </c>
      <c r="J360">
        <v>80</v>
      </c>
      <c r="K360">
        <v>90</v>
      </c>
    </row>
    <row r="361" spans="1:11" x14ac:dyDescent="0.25">
      <c r="A361">
        <v>59</v>
      </c>
      <c r="B361">
        <v>2</v>
      </c>
      <c r="C361">
        <v>26.9</v>
      </c>
      <c r="D361">
        <v>104</v>
      </c>
      <c r="E361">
        <v>194</v>
      </c>
      <c r="F361">
        <v>126.6</v>
      </c>
      <c r="G361">
        <v>43</v>
      </c>
      <c r="H361">
        <v>5</v>
      </c>
      <c r="I361">
        <v>4.8040000000000003</v>
      </c>
      <c r="J361">
        <v>106</v>
      </c>
      <c r="K361">
        <v>311</v>
      </c>
    </row>
    <row r="362" spans="1:11" x14ac:dyDescent="0.25">
      <c r="A362">
        <v>53</v>
      </c>
      <c r="B362">
        <v>1</v>
      </c>
      <c r="C362">
        <v>28.3</v>
      </c>
      <c r="D362">
        <v>101</v>
      </c>
      <c r="E362">
        <v>179</v>
      </c>
      <c r="F362">
        <v>107</v>
      </c>
      <c r="G362">
        <v>48</v>
      </c>
      <c r="H362">
        <v>4</v>
      </c>
      <c r="I362">
        <v>4.7874999999999996</v>
      </c>
      <c r="J362">
        <v>101</v>
      </c>
      <c r="K362">
        <v>281</v>
      </c>
    </row>
    <row r="363" spans="1:11" x14ac:dyDescent="0.25">
      <c r="A363">
        <v>60</v>
      </c>
      <c r="B363">
        <v>1</v>
      </c>
      <c r="C363">
        <v>25.7</v>
      </c>
      <c r="D363">
        <v>103</v>
      </c>
      <c r="E363">
        <v>158</v>
      </c>
      <c r="F363">
        <v>84.6</v>
      </c>
      <c r="G363">
        <v>64</v>
      </c>
      <c r="H363">
        <v>2</v>
      </c>
      <c r="I363">
        <v>3.8500999999999999</v>
      </c>
      <c r="J363">
        <v>97</v>
      </c>
      <c r="K363">
        <v>182</v>
      </c>
    </row>
    <row r="364" spans="1:11" x14ac:dyDescent="0.25">
      <c r="A364">
        <v>54</v>
      </c>
      <c r="B364">
        <v>2</v>
      </c>
      <c r="C364">
        <v>36.1</v>
      </c>
      <c r="D364">
        <v>115</v>
      </c>
      <c r="E364">
        <v>163</v>
      </c>
      <c r="F364">
        <v>98.4</v>
      </c>
      <c r="G364">
        <v>43</v>
      </c>
      <c r="H364">
        <v>4</v>
      </c>
      <c r="I364">
        <v>4.6821000000000002</v>
      </c>
      <c r="J364">
        <v>101</v>
      </c>
      <c r="K364">
        <v>321</v>
      </c>
    </row>
    <row r="365" spans="1:11" x14ac:dyDescent="0.25">
      <c r="A365">
        <v>35</v>
      </c>
      <c r="B365">
        <v>2</v>
      </c>
      <c r="C365">
        <v>24.1</v>
      </c>
      <c r="D365">
        <v>94.67</v>
      </c>
      <c r="E365">
        <v>155</v>
      </c>
      <c r="F365">
        <v>97.4</v>
      </c>
      <c r="G365">
        <v>32</v>
      </c>
      <c r="H365">
        <v>4.84</v>
      </c>
      <c r="I365">
        <v>4.8520000000000003</v>
      </c>
      <c r="J365">
        <v>94</v>
      </c>
      <c r="K365">
        <v>58</v>
      </c>
    </row>
    <row r="366" spans="1:11" x14ac:dyDescent="0.25">
      <c r="A366">
        <v>49</v>
      </c>
      <c r="B366">
        <v>2</v>
      </c>
      <c r="C366">
        <v>25.8</v>
      </c>
      <c r="D366">
        <v>89</v>
      </c>
      <c r="E366">
        <v>182</v>
      </c>
      <c r="F366">
        <v>118.6</v>
      </c>
      <c r="G366">
        <v>39</v>
      </c>
      <c r="H366">
        <v>5</v>
      </c>
      <c r="I366">
        <v>4.8040000000000003</v>
      </c>
      <c r="J366">
        <v>115</v>
      </c>
      <c r="K366">
        <v>262</v>
      </c>
    </row>
    <row r="367" spans="1:11" x14ac:dyDescent="0.25">
      <c r="A367">
        <v>58</v>
      </c>
      <c r="B367">
        <v>1</v>
      </c>
      <c r="C367">
        <v>22.8</v>
      </c>
      <c r="D367">
        <v>91</v>
      </c>
      <c r="E367">
        <v>196</v>
      </c>
      <c r="F367">
        <v>118.8</v>
      </c>
      <c r="G367">
        <v>48</v>
      </c>
      <c r="H367">
        <v>4</v>
      </c>
      <c r="I367">
        <v>4.9836</v>
      </c>
      <c r="J367">
        <v>115</v>
      </c>
      <c r="K367">
        <v>206</v>
      </c>
    </row>
    <row r="368" spans="1:11" x14ac:dyDescent="0.25">
      <c r="A368">
        <v>36</v>
      </c>
      <c r="B368">
        <v>2</v>
      </c>
      <c r="C368">
        <v>39.1</v>
      </c>
      <c r="D368">
        <v>90</v>
      </c>
      <c r="E368">
        <v>219</v>
      </c>
      <c r="F368">
        <v>135.80000000000001</v>
      </c>
      <c r="G368">
        <v>38</v>
      </c>
      <c r="H368">
        <v>6</v>
      </c>
      <c r="I368">
        <v>5.4204999999999997</v>
      </c>
      <c r="J368">
        <v>103</v>
      </c>
      <c r="K368">
        <v>233</v>
      </c>
    </row>
    <row r="369" spans="1:11" x14ac:dyDescent="0.25">
      <c r="A369">
        <v>46</v>
      </c>
      <c r="B369">
        <v>2</v>
      </c>
      <c r="C369">
        <v>42.2</v>
      </c>
      <c r="D369">
        <v>99</v>
      </c>
      <c r="E369">
        <v>211</v>
      </c>
      <c r="F369">
        <v>137</v>
      </c>
      <c r="G369">
        <v>44</v>
      </c>
      <c r="H369">
        <v>5</v>
      </c>
      <c r="I369">
        <v>5.0106000000000002</v>
      </c>
      <c r="J369">
        <v>99</v>
      </c>
      <c r="K369">
        <v>242</v>
      </c>
    </row>
    <row r="370" spans="1:11" x14ac:dyDescent="0.25">
      <c r="A370">
        <v>44</v>
      </c>
      <c r="B370">
        <v>2</v>
      </c>
      <c r="C370">
        <v>26.6</v>
      </c>
      <c r="D370">
        <v>99</v>
      </c>
      <c r="E370">
        <v>205</v>
      </c>
      <c r="F370">
        <v>109</v>
      </c>
      <c r="G370">
        <v>43</v>
      </c>
      <c r="H370">
        <v>5</v>
      </c>
      <c r="I370">
        <v>5.5796999999999999</v>
      </c>
      <c r="J370">
        <v>111</v>
      </c>
      <c r="K370">
        <v>123</v>
      </c>
    </row>
    <row r="371" spans="1:11" x14ac:dyDescent="0.25">
      <c r="A371">
        <v>46</v>
      </c>
      <c r="B371">
        <v>1</v>
      </c>
      <c r="C371">
        <v>29.9</v>
      </c>
      <c r="D371">
        <v>83</v>
      </c>
      <c r="E371">
        <v>171</v>
      </c>
      <c r="F371">
        <v>113</v>
      </c>
      <c r="G371">
        <v>38</v>
      </c>
      <c r="H371">
        <v>4.5</v>
      </c>
      <c r="I371">
        <v>4.585</v>
      </c>
      <c r="J371">
        <v>98</v>
      </c>
      <c r="K371">
        <v>167</v>
      </c>
    </row>
    <row r="372" spans="1:11" x14ac:dyDescent="0.25">
      <c r="A372">
        <v>54</v>
      </c>
      <c r="B372">
        <v>1</v>
      </c>
      <c r="C372">
        <v>21</v>
      </c>
      <c r="D372">
        <v>78</v>
      </c>
      <c r="E372">
        <v>188</v>
      </c>
      <c r="F372">
        <v>107.4</v>
      </c>
      <c r="G372">
        <v>70</v>
      </c>
      <c r="H372">
        <v>3</v>
      </c>
      <c r="I372">
        <v>3.9702999999999999</v>
      </c>
      <c r="J372">
        <v>73</v>
      </c>
      <c r="K372">
        <v>63</v>
      </c>
    </row>
    <row r="373" spans="1:11" x14ac:dyDescent="0.25">
      <c r="A373">
        <v>63</v>
      </c>
      <c r="B373">
        <v>2</v>
      </c>
      <c r="C373">
        <v>25.5</v>
      </c>
      <c r="D373">
        <v>109</v>
      </c>
      <c r="E373">
        <v>226</v>
      </c>
      <c r="F373">
        <v>103.2</v>
      </c>
      <c r="G373">
        <v>46</v>
      </c>
      <c r="H373">
        <v>5</v>
      </c>
      <c r="I373">
        <v>5.9505999999999997</v>
      </c>
      <c r="J373">
        <v>87</v>
      </c>
      <c r="K373">
        <v>197</v>
      </c>
    </row>
    <row r="374" spans="1:11" x14ac:dyDescent="0.25">
      <c r="A374">
        <v>41</v>
      </c>
      <c r="B374">
        <v>2</v>
      </c>
      <c r="C374">
        <v>24.2</v>
      </c>
      <c r="D374">
        <v>90</v>
      </c>
      <c r="E374">
        <v>199</v>
      </c>
      <c r="F374">
        <v>123.6</v>
      </c>
      <c r="G374">
        <v>57</v>
      </c>
      <c r="H374">
        <v>4</v>
      </c>
      <c r="I374">
        <v>4.5217999999999998</v>
      </c>
      <c r="J374">
        <v>86</v>
      </c>
      <c r="K374">
        <v>71</v>
      </c>
    </row>
    <row r="375" spans="1:11" x14ac:dyDescent="0.25">
      <c r="A375">
        <v>28</v>
      </c>
      <c r="B375">
        <v>1</v>
      </c>
      <c r="C375">
        <v>25.4</v>
      </c>
      <c r="D375">
        <v>93</v>
      </c>
      <c r="E375">
        <v>141</v>
      </c>
      <c r="F375">
        <v>79</v>
      </c>
      <c r="G375">
        <v>49</v>
      </c>
      <c r="H375">
        <v>3</v>
      </c>
      <c r="I375">
        <v>4.1744000000000003</v>
      </c>
      <c r="J375">
        <v>91</v>
      </c>
      <c r="K375">
        <v>168</v>
      </c>
    </row>
    <row r="376" spans="1:11" x14ac:dyDescent="0.25">
      <c r="A376">
        <v>19</v>
      </c>
      <c r="B376">
        <v>1</v>
      </c>
      <c r="C376">
        <v>23.2</v>
      </c>
      <c r="D376">
        <v>75</v>
      </c>
      <c r="E376">
        <v>143</v>
      </c>
      <c r="F376">
        <v>70.400000000000006</v>
      </c>
      <c r="G376">
        <v>52</v>
      </c>
      <c r="H376">
        <v>3</v>
      </c>
      <c r="I376">
        <v>4.6346999999999996</v>
      </c>
      <c r="J376">
        <v>72</v>
      </c>
      <c r="K376">
        <v>140</v>
      </c>
    </row>
    <row r="377" spans="1:11" x14ac:dyDescent="0.25">
      <c r="A377">
        <v>61</v>
      </c>
      <c r="B377">
        <v>2</v>
      </c>
      <c r="C377">
        <v>26.1</v>
      </c>
      <c r="D377">
        <v>126</v>
      </c>
      <c r="E377">
        <v>215</v>
      </c>
      <c r="F377">
        <v>129.80000000000001</v>
      </c>
      <c r="G377">
        <v>57</v>
      </c>
      <c r="H377">
        <v>4</v>
      </c>
      <c r="I377">
        <v>4.9488000000000003</v>
      </c>
      <c r="J377">
        <v>96</v>
      </c>
      <c r="K377">
        <v>217</v>
      </c>
    </row>
    <row r="378" spans="1:11" x14ac:dyDescent="0.25">
      <c r="A378">
        <v>48</v>
      </c>
      <c r="B378">
        <v>1</v>
      </c>
      <c r="C378">
        <v>32.700000000000003</v>
      </c>
      <c r="D378">
        <v>93</v>
      </c>
      <c r="E378">
        <v>276</v>
      </c>
      <c r="F378">
        <v>198.6</v>
      </c>
      <c r="G378">
        <v>43</v>
      </c>
      <c r="H378">
        <v>6.42</v>
      </c>
      <c r="I378">
        <v>5.1475</v>
      </c>
      <c r="J378">
        <v>91</v>
      </c>
      <c r="K378">
        <v>121</v>
      </c>
    </row>
    <row r="379" spans="1:11" x14ac:dyDescent="0.25">
      <c r="A379">
        <v>54</v>
      </c>
      <c r="B379">
        <v>2</v>
      </c>
      <c r="C379">
        <v>27.3</v>
      </c>
      <c r="D379">
        <v>100</v>
      </c>
      <c r="E379">
        <v>200</v>
      </c>
      <c r="F379">
        <v>144</v>
      </c>
      <c r="G379">
        <v>33</v>
      </c>
      <c r="H379">
        <v>6</v>
      </c>
      <c r="I379">
        <v>4.7449000000000003</v>
      </c>
      <c r="J379">
        <v>76</v>
      </c>
      <c r="K379">
        <v>235</v>
      </c>
    </row>
    <row r="380" spans="1:11" x14ac:dyDescent="0.25">
      <c r="A380">
        <v>53</v>
      </c>
      <c r="B380">
        <v>2</v>
      </c>
      <c r="C380">
        <v>26.6</v>
      </c>
      <c r="D380">
        <v>93</v>
      </c>
      <c r="E380">
        <v>185</v>
      </c>
      <c r="F380">
        <v>122.4</v>
      </c>
      <c r="G380">
        <v>36</v>
      </c>
      <c r="H380">
        <v>5</v>
      </c>
      <c r="I380">
        <v>4.8902999999999999</v>
      </c>
      <c r="J380">
        <v>82</v>
      </c>
      <c r="K380">
        <v>245</v>
      </c>
    </row>
    <row r="381" spans="1:11" x14ac:dyDescent="0.25">
      <c r="A381">
        <v>48</v>
      </c>
      <c r="B381">
        <v>1</v>
      </c>
      <c r="C381">
        <v>22.8</v>
      </c>
      <c r="D381">
        <v>101</v>
      </c>
      <c r="E381">
        <v>110</v>
      </c>
      <c r="F381">
        <v>41.6</v>
      </c>
      <c r="G381">
        <v>56</v>
      </c>
      <c r="H381">
        <v>2</v>
      </c>
      <c r="I381">
        <v>4.1271000000000004</v>
      </c>
      <c r="J381">
        <v>97</v>
      </c>
      <c r="K381">
        <v>40</v>
      </c>
    </row>
    <row r="382" spans="1:11" x14ac:dyDescent="0.25">
      <c r="A382">
        <v>53</v>
      </c>
      <c r="B382">
        <v>1</v>
      </c>
      <c r="C382">
        <v>28.8</v>
      </c>
      <c r="D382">
        <v>111.67</v>
      </c>
      <c r="E382">
        <v>145</v>
      </c>
      <c r="F382">
        <v>87.2</v>
      </c>
      <c r="G382">
        <v>46</v>
      </c>
      <c r="H382">
        <v>3.15</v>
      </c>
      <c r="I382">
        <v>4.0774999999999997</v>
      </c>
      <c r="J382">
        <v>85</v>
      </c>
      <c r="K382">
        <v>52</v>
      </c>
    </row>
    <row r="383" spans="1:11" x14ac:dyDescent="0.25">
      <c r="A383">
        <v>29</v>
      </c>
      <c r="B383">
        <v>2</v>
      </c>
      <c r="C383">
        <v>18.100000000000001</v>
      </c>
      <c r="D383">
        <v>73</v>
      </c>
      <c r="E383">
        <v>158</v>
      </c>
      <c r="F383">
        <v>99</v>
      </c>
      <c r="G383">
        <v>41</v>
      </c>
      <c r="H383">
        <v>4</v>
      </c>
      <c r="I383">
        <v>4.4997999999999996</v>
      </c>
      <c r="J383">
        <v>78</v>
      </c>
      <c r="K383">
        <v>104</v>
      </c>
    </row>
    <row r="384" spans="1:11" x14ac:dyDescent="0.25">
      <c r="A384">
        <v>62</v>
      </c>
      <c r="B384">
        <v>1</v>
      </c>
      <c r="C384">
        <v>32</v>
      </c>
      <c r="D384">
        <v>88</v>
      </c>
      <c r="E384">
        <v>172</v>
      </c>
      <c r="F384">
        <v>69</v>
      </c>
      <c r="G384">
        <v>38</v>
      </c>
      <c r="H384">
        <v>4</v>
      </c>
      <c r="I384">
        <v>5.7838000000000003</v>
      </c>
      <c r="J384">
        <v>100</v>
      </c>
      <c r="K384">
        <v>132</v>
      </c>
    </row>
    <row r="385" spans="1:11" x14ac:dyDescent="0.25">
      <c r="A385">
        <v>50</v>
      </c>
      <c r="B385">
        <v>2</v>
      </c>
      <c r="C385">
        <v>23.7</v>
      </c>
      <c r="D385">
        <v>92</v>
      </c>
      <c r="E385">
        <v>166</v>
      </c>
      <c r="F385">
        <v>97</v>
      </c>
      <c r="G385">
        <v>52</v>
      </c>
      <c r="H385">
        <v>3</v>
      </c>
      <c r="I385">
        <v>4.4427000000000003</v>
      </c>
      <c r="J385">
        <v>93</v>
      </c>
      <c r="K385">
        <v>88</v>
      </c>
    </row>
    <row r="386" spans="1:11" x14ac:dyDescent="0.25">
      <c r="A386">
        <v>58</v>
      </c>
      <c r="B386">
        <v>2</v>
      </c>
      <c r="C386">
        <v>23.6</v>
      </c>
      <c r="D386">
        <v>96</v>
      </c>
      <c r="E386">
        <v>257</v>
      </c>
      <c r="F386">
        <v>171</v>
      </c>
      <c r="G386">
        <v>59</v>
      </c>
      <c r="H386">
        <v>4</v>
      </c>
      <c r="I386">
        <v>4.9053000000000004</v>
      </c>
      <c r="J386">
        <v>82</v>
      </c>
      <c r="K386">
        <v>69</v>
      </c>
    </row>
    <row r="387" spans="1:11" x14ac:dyDescent="0.25">
      <c r="A387">
        <v>55</v>
      </c>
      <c r="B387">
        <v>2</v>
      </c>
      <c r="C387">
        <v>24.6</v>
      </c>
      <c r="D387">
        <v>109</v>
      </c>
      <c r="E387">
        <v>143</v>
      </c>
      <c r="F387">
        <v>76.400000000000006</v>
      </c>
      <c r="G387">
        <v>51</v>
      </c>
      <c r="H387">
        <v>3</v>
      </c>
      <c r="I387">
        <v>4.3567</v>
      </c>
      <c r="J387">
        <v>88</v>
      </c>
      <c r="K387">
        <v>219</v>
      </c>
    </row>
    <row r="388" spans="1:11" x14ac:dyDescent="0.25">
      <c r="A388">
        <v>54</v>
      </c>
      <c r="B388">
        <v>1</v>
      </c>
      <c r="C388">
        <v>22.6</v>
      </c>
      <c r="D388">
        <v>90</v>
      </c>
      <c r="E388">
        <v>183</v>
      </c>
      <c r="F388">
        <v>104.2</v>
      </c>
      <c r="G388">
        <v>64</v>
      </c>
      <c r="H388">
        <v>3</v>
      </c>
      <c r="I388">
        <v>4.3041</v>
      </c>
      <c r="J388">
        <v>92</v>
      </c>
      <c r="K388">
        <v>72</v>
      </c>
    </row>
    <row r="389" spans="1:11" x14ac:dyDescent="0.25">
      <c r="A389">
        <v>36</v>
      </c>
      <c r="B389">
        <v>1</v>
      </c>
      <c r="C389">
        <v>27.8</v>
      </c>
      <c r="D389">
        <v>73</v>
      </c>
      <c r="E389">
        <v>153</v>
      </c>
      <c r="F389">
        <v>104.4</v>
      </c>
      <c r="G389">
        <v>42</v>
      </c>
      <c r="H389">
        <v>4</v>
      </c>
      <c r="I389">
        <v>3.4965000000000002</v>
      </c>
      <c r="J389">
        <v>73</v>
      </c>
      <c r="K389">
        <v>201</v>
      </c>
    </row>
    <row r="390" spans="1:11" x14ac:dyDescent="0.25">
      <c r="A390">
        <v>63</v>
      </c>
      <c r="B390">
        <v>2</v>
      </c>
      <c r="C390">
        <v>24.1</v>
      </c>
      <c r="D390">
        <v>111</v>
      </c>
      <c r="E390">
        <v>184</v>
      </c>
      <c r="F390">
        <v>112.2</v>
      </c>
      <c r="G390">
        <v>44</v>
      </c>
      <c r="H390">
        <v>4</v>
      </c>
      <c r="I390">
        <v>4.9344999999999999</v>
      </c>
      <c r="J390">
        <v>82</v>
      </c>
      <c r="K390">
        <v>110</v>
      </c>
    </row>
    <row r="391" spans="1:11" x14ac:dyDescent="0.25">
      <c r="A391">
        <v>47</v>
      </c>
      <c r="B391">
        <v>2</v>
      </c>
      <c r="C391">
        <v>26.5</v>
      </c>
      <c r="D391">
        <v>70</v>
      </c>
      <c r="E391">
        <v>181</v>
      </c>
      <c r="F391">
        <v>104.8</v>
      </c>
      <c r="G391">
        <v>63</v>
      </c>
      <c r="H391">
        <v>3</v>
      </c>
      <c r="I391">
        <v>4.1897000000000002</v>
      </c>
      <c r="J391">
        <v>70</v>
      </c>
      <c r="K391">
        <v>51</v>
      </c>
    </row>
    <row r="392" spans="1:11" x14ac:dyDescent="0.25">
      <c r="A392">
        <v>51</v>
      </c>
      <c r="B392">
        <v>2</v>
      </c>
      <c r="C392">
        <v>32.799999999999997</v>
      </c>
      <c r="D392">
        <v>112</v>
      </c>
      <c r="E392">
        <v>202</v>
      </c>
      <c r="F392">
        <v>100.6</v>
      </c>
      <c r="G392">
        <v>37</v>
      </c>
      <c r="H392">
        <v>5</v>
      </c>
      <c r="I392">
        <v>5.7746000000000004</v>
      </c>
      <c r="J392">
        <v>109</v>
      </c>
      <c r="K392">
        <v>277</v>
      </c>
    </row>
    <row r="393" spans="1:11" x14ac:dyDescent="0.25">
      <c r="A393">
        <v>42</v>
      </c>
      <c r="B393">
        <v>1</v>
      </c>
      <c r="C393">
        <v>19.899999999999999</v>
      </c>
      <c r="D393">
        <v>76</v>
      </c>
      <c r="E393">
        <v>146</v>
      </c>
      <c r="F393">
        <v>83.2</v>
      </c>
      <c r="G393">
        <v>55</v>
      </c>
      <c r="H393">
        <v>3</v>
      </c>
      <c r="I393">
        <v>3.6636000000000002</v>
      </c>
      <c r="J393">
        <v>79</v>
      </c>
      <c r="K393">
        <v>63</v>
      </c>
    </row>
    <row r="394" spans="1:11" x14ac:dyDescent="0.25">
      <c r="A394">
        <v>37</v>
      </c>
      <c r="B394">
        <v>2</v>
      </c>
      <c r="C394">
        <v>23.6</v>
      </c>
      <c r="D394">
        <v>94</v>
      </c>
      <c r="E394">
        <v>205</v>
      </c>
      <c r="F394">
        <v>138.80000000000001</v>
      </c>
      <c r="G394">
        <v>53</v>
      </c>
      <c r="H394">
        <v>4</v>
      </c>
      <c r="I394">
        <v>4.1897000000000002</v>
      </c>
      <c r="J394">
        <v>107</v>
      </c>
      <c r="K394">
        <v>118</v>
      </c>
    </row>
    <row r="395" spans="1:11" x14ac:dyDescent="0.25">
      <c r="A395">
        <v>28</v>
      </c>
      <c r="B395">
        <v>1</v>
      </c>
      <c r="C395">
        <v>22.1</v>
      </c>
      <c r="D395">
        <v>82</v>
      </c>
      <c r="E395">
        <v>168</v>
      </c>
      <c r="F395">
        <v>100.6</v>
      </c>
      <c r="G395">
        <v>54</v>
      </c>
      <c r="H395">
        <v>3</v>
      </c>
      <c r="I395">
        <v>4.2046999999999999</v>
      </c>
      <c r="J395">
        <v>86</v>
      </c>
      <c r="K395">
        <v>69</v>
      </c>
    </row>
    <row r="396" spans="1:11" x14ac:dyDescent="0.25">
      <c r="A396">
        <v>58</v>
      </c>
      <c r="B396">
        <v>1</v>
      </c>
      <c r="C396">
        <v>28.1</v>
      </c>
      <c r="D396">
        <v>111</v>
      </c>
      <c r="E396">
        <v>198</v>
      </c>
      <c r="F396">
        <v>80.599999999999994</v>
      </c>
      <c r="G396">
        <v>31</v>
      </c>
      <c r="H396">
        <v>6</v>
      </c>
      <c r="I396">
        <v>6.0683999999999996</v>
      </c>
      <c r="J396">
        <v>93</v>
      </c>
      <c r="K396">
        <v>273</v>
      </c>
    </row>
    <row r="397" spans="1:11" x14ac:dyDescent="0.25">
      <c r="A397">
        <v>32</v>
      </c>
      <c r="B397">
        <v>1</v>
      </c>
      <c r="C397">
        <v>26.5</v>
      </c>
      <c r="D397">
        <v>86</v>
      </c>
      <c r="E397">
        <v>184</v>
      </c>
      <c r="F397">
        <v>101.6</v>
      </c>
      <c r="G397">
        <v>53</v>
      </c>
      <c r="H397">
        <v>4</v>
      </c>
      <c r="I397">
        <v>4.9904000000000002</v>
      </c>
      <c r="J397">
        <v>78</v>
      </c>
      <c r="K397">
        <v>258</v>
      </c>
    </row>
    <row r="398" spans="1:11" x14ac:dyDescent="0.25">
      <c r="A398">
        <v>25</v>
      </c>
      <c r="B398">
        <v>2</v>
      </c>
      <c r="C398">
        <v>23.5</v>
      </c>
      <c r="D398">
        <v>88</v>
      </c>
      <c r="E398">
        <v>143</v>
      </c>
      <c r="F398">
        <v>80.8</v>
      </c>
      <c r="G398">
        <v>55</v>
      </c>
      <c r="H398">
        <v>3</v>
      </c>
      <c r="I398">
        <v>3.5834999999999999</v>
      </c>
      <c r="J398">
        <v>83</v>
      </c>
      <c r="K398">
        <v>43</v>
      </c>
    </row>
    <row r="399" spans="1:11" x14ac:dyDescent="0.25">
      <c r="A399">
        <v>63</v>
      </c>
      <c r="B399">
        <v>1</v>
      </c>
      <c r="C399">
        <v>26</v>
      </c>
      <c r="D399">
        <v>85.67</v>
      </c>
      <c r="E399">
        <v>155</v>
      </c>
      <c r="F399">
        <v>78.2</v>
      </c>
      <c r="G399">
        <v>46</v>
      </c>
      <c r="H399">
        <v>3.37</v>
      </c>
      <c r="I399">
        <v>5.0369999999999999</v>
      </c>
      <c r="J399">
        <v>97</v>
      </c>
      <c r="K399">
        <v>198</v>
      </c>
    </row>
    <row r="400" spans="1:11" x14ac:dyDescent="0.25">
      <c r="A400">
        <v>52</v>
      </c>
      <c r="B400">
        <v>1</v>
      </c>
      <c r="C400">
        <v>27.8</v>
      </c>
      <c r="D400">
        <v>85</v>
      </c>
      <c r="E400">
        <v>219</v>
      </c>
      <c r="F400">
        <v>136</v>
      </c>
      <c r="G400">
        <v>49</v>
      </c>
      <c r="H400">
        <v>4</v>
      </c>
      <c r="I400">
        <v>5.1357999999999997</v>
      </c>
      <c r="J400">
        <v>75</v>
      </c>
      <c r="K400">
        <v>242</v>
      </c>
    </row>
    <row r="401" spans="1:11" x14ac:dyDescent="0.25">
      <c r="A401">
        <v>65</v>
      </c>
      <c r="B401">
        <v>2</v>
      </c>
      <c r="C401">
        <v>28.5</v>
      </c>
      <c r="D401">
        <v>109</v>
      </c>
      <c r="E401">
        <v>201</v>
      </c>
      <c r="F401">
        <v>123</v>
      </c>
      <c r="G401">
        <v>46</v>
      </c>
      <c r="H401">
        <v>4</v>
      </c>
      <c r="I401">
        <v>5.0751999999999997</v>
      </c>
      <c r="J401">
        <v>96</v>
      </c>
      <c r="K401">
        <v>232</v>
      </c>
    </row>
    <row r="402" spans="1:11" x14ac:dyDescent="0.25">
      <c r="A402">
        <v>42</v>
      </c>
      <c r="B402">
        <v>1</v>
      </c>
      <c r="C402">
        <v>30.6</v>
      </c>
      <c r="D402">
        <v>121</v>
      </c>
      <c r="E402">
        <v>176</v>
      </c>
      <c r="F402">
        <v>92.8</v>
      </c>
      <c r="G402">
        <v>69</v>
      </c>
      <c r="H402">
        <v>3</v>
      </c>
      <c r="I402">
        <v>4.2626999999999997</v>
      </c>
      <c r="J402">
        <v>89</v>
      </c>
      <c r="K402">
        <v>175</v>
      </c>
    </row>
    <row r="403" spans="1:11" x14ac:dyDescent="0.25">
      <c r="A403">
        <v>53</v>
      </c>
      <c r="B403">
        <v>1</v>
      </c>
      <c r="C403">
        <v>22.2</v>
      </c>
      <c r="D403">
        <v>78</v>
      </c>
      <c r="E403">
        <v>164</v>
      </c>
      <c r="F403">
        <v>81</v>
      </c>
      <c r="G403">
        <v>70</v>
      </c>
      <c r="H403">
        <v>2</v>
      </c>
      <c r="I403">
        <v>4.1744000000000003</v>
      </c>
      <c r="J403">
        <v>101</v>
      </c>
      <c r="K403">
        <v>93</v>
      </c>
    </row>
    <row r="404" spans="1:11" x14ac:dyDescent="0.25">
      <c r="A404">
        <v>79</v>
      </c>
      <c r="B404">
        <v>2</v>
      </c>
      <c r="C404">
        <v>23.3</v>
      </c>
      <c r="D404">
        <v>88</v>
      </c>
      <c r="E404">
        <v>186</v>
      </c>
      <c r="F404">
        <v>128.4</v>
      </c>
      <c r="G404">
        <v>33</v>
      </c>
      <c r="H404">
        <v>6</v>
      </c>
      <c r="I404">
        <v>4.8121999999999998</v>
      </c>
      <c r="J404">
        <v>102</v>
      </c>
      <c r="K404">
        <v>168</v>
      </c>
    </row>
    <row r="405" spans="1:11" x14ac:dyDescent="0.25">
      <c r="A405">
        <v>43</v>
      </c>
      <c r="B405">
        <v>1</v>
      </c>
      <c r="C405">
        <v>35.4</v>
      </c>
      <c r="D405">
        <v>93</v>
      </c>
      <c r="E405">
        <v>185</v>
      </c>
      <c r="F405">
        <v>100.2</v>
      </c>
      <c r="G405">
        <v>44</v>
      </c>
      <c r="H405">
        <v>4</v>
      </c>
      <c r="I405">
        <v>5.3181000000000003</v>
      </c>
      <c r="J405">
        <v>101</v>
      </c>
      <c r="K405">
        <v>275</v>
      </c>
    </row>
    <row r="406" spans="1:11" x14ac:dyDescent="0.25">
      <c r="A406">
        <v>44</v>
      </c>
      <c r="B406">
        <v>1</v>
      </c>
      <c r="C406">
        <v>31.4</v>
      </c>
      <c r="D406">
        <v>115</v>
      </c>
      <c r="E406">
        <v>165</v>
      </c>
      <c r="F406">
        <v>97.6</v>
      </c>
      <c r="G406">
        <v>52</v>
      </c>
      <c r="H406">
        <v>3</v>
      </c>
      <c r="I406">
        <v>4.3437999999999999</v>
      </c>
      <c r="J406">
        <v>89</v>
      </c>
      <c r="K406">
        <v>293</v>
      </c>
    </row>
    <row r="407" spans="1:11" x14ac:dyDescent="0.25">
      <c r="A407">
        <v>62</v>
      </c>
      <c r="B407">
        <v>2</v>
      </c>
      <c r="C407">
        <v>37.799999999999997</v>
      </c>
      <c r="D407">
        <v>119</v>
      </c>
      <c r="E407">
        <v>113</v>
      </c>
      <c r="F407">
        <v>51</v>
      </c>
      <c r="G407">
        <v>31</v>
      </c>
      <c r="H407">
        <v>4</v>
      </c>
      <c r="I407">
        <v>5.0434000000000001</v>
      </c>
      <c r="J407">
        <v>84</v>
      </c>
      <c r="K407">
        <v>281</v>
      </c>
    </row>
    <row r="408" spans="1:11" x14ac:dyDescent="0.25">
      <c r="A408">
        <v>33</v>
      </c>
      <c r="B408">
        <v>1</v>
      </c>
      <c r="C408">
        <v>18.899999999999999</v>
      </c>
      <c r="D408">
        <v>70</v>
      </c>
      <c r="E408">
        <v>162</v>
      </c>
      <c r="F408">
        <v>91.8</v>
      </c>
      <c r="G408">
        <v>59</v>
      </c>
      <c r="H408">
        <v>3</v>
      </c>
      <c r="I408">
        <v>4.0254000000000003</v>
      </c>
      <c r="J408">
        <v>58</v>
      </c>
      <c r="K408">
        <v>72</v>
      </c>
    </row>
    <row r="409" spans="1:11" x14ac:dyDescent="0.25">
      <c r="A409">
        <v>56</v>
      </c>
      <c r="B409">
        <v>1</v>
      </c>
      <c r="C409">
        <v>35</v>
      </c>
      <c r="D409">
        <v>79.33</v>
      </c>
      <c r="E409">
        <v>195</v>
      </c>
      <c r="F409">
        <v>140.80000000000001</v>
      </c>
      <c r="G409">
        <v>42</v>
      </c>
      <c r="H409">
        <v>4.6399999999999997</v>
      </c>
      <c r="I409">
        <v>4.1109</v>
      </c>
      <c r="J409">
        <v>96</v>
      </c>
      <c r="K409">
        <v>140</v>
      </c>
    </row>
    <row r="410" spans="1:11" x14ac:dyDescent="0.25">
      <c r="A410">
        <v>66</v>
      </c>
      <c r="B410">
        <v>1</v>
      </c>
      <c r="C410">
        <v>21.7</v>
      </c>
      <c r="D410">
        <v>126</v>
      </c>
      <c r="E410">
        <v>212</v>
      </c>
      <c r="F410">
        <v>127.8</v>
      </c>
      <c r="G410">
        <v>45</v>
      </c>
      <c r="H410">
        <v>4.71</v>
      </c>
      <c r="I410">
        <v>5.2781000000000002</v>
      </c>
      <c r="J410">
        <v>101</v>
      </c>
      <c r="K410">
        <v>189</v>
      </c>
    </row>
    <row r="411" spans="1:11" x14ac:dyDescent="0.25">
      <c r="A411">
        <v>34</v>
      </c>
      <c r="B411">
        <v>2</v>
      </c>
      <c r="C411">
        <v>25.3</v>
      </c>
      <c r="D411">
        <v>111</v>
      </c>
      <c r="E411">
        <v>230</v>
      </c>
      <c r="F411">
        <v>162</v>
      </c>
      <c r="G411">
        <v>39</v>
      </c>
      <c r="H411">
        <v>6</v>
      </c>
      <c r="I411">
        <v>4.9767000000000001</v>
      </c>
      <c r="J411">
        <v>90</v>
      </c>
      <c r="K411">
        <v>181</v>
      </c>
    </row>
    <row r="412" spans="1:11" x14ac:dyDescent="0.25">
      <c r="A412">
        <v>46</v>
      </c>
      <c r="B412">
        <v>2</v>
      </c>
      <c r="C412">
        <v>23.8</v>
      </c>
      <c r="D412">
        <v>97</v>
      </c>
      <c r="E412">
        <v>224</v>
      </c>
      <c r="F412">
        <v>139.19999999999999</v>
      </c>
      <c r="G412">
        <v>42</v>
      </c>
      <c r="H412">
        <v>5</v>
      </c>
      <c r="I412">
        <v>5.3659999999999997</v>
      </c>
      <c r="J412">
        <v>81</v>
      </c>
      <c r="K412">
        <v>209</v>
      </c>
    </row>
    <row r="413" spans="1:11" x14ac:dyDescent="0.25">
      <c r="A413">
        <v>50</v>
      </c>
      <c r="B413">
        <v>1</v>
      </c>
      <c r="C413">
        <v>31.8</v>
      </c>
      <c r="D413">
        <v>82</v>
      </c>
      <c r="E413">
        <v>136</v>
      </c>
      <c r="F413">
        <v>69.2</v>
      </c>
      <c r="G413">
        <v>55</v>
      </c>
      <c r="H413">
        <v>2</v>
      </c>
      <c r="I413">
        <v>4.0774999999999997</v>
      </c>
      <c r="J413">
        <v>85</v>
      </c>
      <c r="K413">
        <v>136</v>
      </c>
    </row>
    <row r="414" spans="1:11" x14ac:dyDescent="0.25">
      <c r="A414">
        <v>69</v>
      </c>
      <c r="B414">
        <v>1</v>
      </c>
      <c r="C414">
        <v>34.299999999999997</v>
      </c>
      <c r="D414">
        <v>113</v>
      </c>
      <c r="E414">
        <v>200</v>
      </c>
      <c r="F414">
        <v>123.8</v>
      </c>
      <c r="G414">
        <v>54</v>
      </c>
      <c r="H414">
        <v>4</v>
      </c>
      <c r="I414">
        <v>4.7095000000000002</v>
      </c>
      <c r="J414">
        <v>112</v>
      </c>
      <c r="K414">
        <v>261</v>
      </c>
    </row>
    <row r="415" spans="1:11" x14ac:dyDescent="0.25">
      <c r="A415">
        <v>34</v>
      </c>
      <c r="B415">
        <v>1</v>
      </c>
      <c r="C415">
        <v>26.3</v>
      </c>
      <c r="D415">
        <v>87</v>
      </c>
      <c r="E415">
        <v>197</v>
      </c>
      <c r="F415">
        <v>120</v>
      </c>
      <c r="G415">
        <v>63</v>
      </c>
      <c r="H415">
        <v>3</v>
      </c>
      <c r="I415">
        <v>4.2484999999999999</v>
      </c>
      <c r="J415">
        <v>96</v>
      </c>
      <c r="K415">
        <v>113</v>
      </c>
    </row>
    <row r="416" spans="1:11" x14ac:dyDescent="0.25">
      <c r="A416">
        <v>71</v>
      </c>
      <c r="B416">
        <v>2</v>
      </c>
      <c r="C416">
        <v>27</v>
      </c>
      <c r="D416">
        <v>93.33</v>
      </c>
      <c r="E416">
        <v>269</v>
      </c>
      <c r="F416">
        <v>190.2</v>
      </c>
      <c r="G416">
        <v>41</v>
      </c>
      <c r="H416">
        <v>6.56</v>
      </c>
      <c r="I416">
        <v>5.2416999999999998</v>
      </c>
      <c r="J416">
        <v>93</v>
      </c>
      <c r="K416">
        <v>131</v>
      </c>
    </row>
    <row r="417" spans="1:11" x14ac:dyDescent="0.25">
      <c r="A417">
        <v>47</v>
      </c>
      <c r="B417">
        <v>1</v>
      </c>
      <c r="C417">
        <v>27.2</v>
      </c>
      <c r="D417">
        <v>80</v>
      </c>
      <c r="E417">
        <v>208</v>
      </c>
      <c r="F417">
        <v>145.6</v>
      </c>
      <c r="G417">
        <v>38</v>
      </c>
      <c r="H417">
        <v>6</v>
      </c>
      <c r="I417">
        <v>4.8040000000000003</v>
      </c>
      <c r="J417">
        <v>92</v>
      </c>
      <c r="K417">
        <v>174</v>
      </c>
    </row>
    <row r="418" spans="1:11" x14ac:dyDescent="0.25">
      <c r="A418">
        <v>41</v>
      </c>
      <c r="B418">
        <v>1</v>
      </c>
      <c r="C418">
        <v>33.799999999999997</v>
      </c>
      <c r="D418">
        <v>123.33</v>
      </c>
      <c r="E418">
        <v>187</v>
      </c>
      <c r="F418">
        <v>127</v>
      </c>
      <c r="G418">
        <v>45</v>
      </c>
      <c r="H418">
        <v>4.16</v>
      </c>
      <c r="I418">
        <v>4.3174999999999999</v>
      </c>
      <c r="J418">
        <v>100</v>
      </c>
      <c r="K418">
        <v>257</v>
      </c>
    </row>
    <row r="419" spans="1:11" x14ac:dyDescent="0.25">
      <c r="A419">
        <v>34</v>
      </c>
      <c r="B419">
        <v>1</v>
      </c>
      <c r="C419">
        <v>33</v>
      </c>
      <c r="D419">
        <v>73</v>
      </c>
      <c r="E419">
        <v>178</v>
      </c>
      <c r="F419">
        <v>114.6</v>
      </c>
      <c r="G419">
        <v>51</v>
      </c>
      <c r="H419">
        <v>3.49</v>
      </c>
      <c r="I419">
        <v>4.1271000000000004</v>
      </c>
      <c r="J419">
        <v>92</v>
      </c>
      <c r="K419">
        <v>55</v>
      </c>
    </row>
    <row r="420" spans="1:11" x14ac:dyDescent="0.25">
      <c r="A420">
        <v>51</v>
      </c>
      <c r="B420">
        <v>1</v>
      </c>
      <c r="C420">
        <v>24.1</v>
      </c>
      <c r="D420">
        <v>87</v>
      </c>
      <c r="E420">
        <v>261</v>
      </c>
      <c r="F420">
        <v>175.6</v>
      </c>
      <c r="G420">
        <v>69</v>
      </c>
      <c r="H420">
        <v>4</v>
      </c>
      <c r="I420">
        <v>4.4066999999999998</v>
      </c>
      <c r="J420">
        <v>93</v>
      </c>
      <c r="K420">
        <v>84</v>
      </c>
    </row>
    <row r="421" spans="1:11" x14ac:dyDescent="0.25">
      <c r="A421">
        <v>43</v>
      </c>
      <c r="B421">
        <v>1</v>
      </c>
      <c r="C421">
        <v>21.3</v>
      </c>
      <c r="D421">
        <v>79</v>
      </c>
      <c r="E421">
        <v>141</v>
      </c>
      <c r="F421">
        <v>78.8</v>
      </c>
      <c r="G421">
        <v>53</v>
      </c>
      <c r="H421">
        <v>3</v>
      </c>
      <c r="I421">
        <v>3.8285999999999998</v>
      </c>
      <c r="J421">
        <v>90</v>
      </c>
      <c r="K421">
        <v>42</v>
      </c>
    </row>
    <row r="422" spans="1:11" x14ac:dyDescent="0.25">
      <c r="A422">
        <v>55</v>
      </c>
      <c r="B422">
        <v>1</v>
      </c>
      <c r="C422">
        <v>23</v>
      </c>
      <c r="D422">
        <v>94.67</v>
      </c>
      <c r="E422">
        <v>190</v>
      </c>
      <c r="F422">
        <v>137.6</v>
      </c>
      <c r="G422">
        <v>38</v>
      </c>
      <c r="H422">
        <v>5</v>
      </c>
      <c r="I422">
        <v>4.2766999999999999</v>
      </c>
      <c r="J422">
        <v>106</v>
      </c>
      <c r="K422">
        <v>146</v>
      </c>
    </row>
    <row r="423" spans="1:11" x14ac:dyDescent="0.25">
      <c r="A423">
        <v>59</v>
      </c>
      <c r="B423">
        <v>2</v>
      </c>
      <c r="C423">
        <v>27.9</v>
      </c>
      <c r="D423">
        <v>101</v>
      </c>
      <c r="E423">
        <v>218</v>
      </c>
      <c r="F423">
        <v>144.19999999999999</v>
      </c>
      <c r="G423">
        <v>38</v>
      </c>
      <c r="H423">
        <v>6</v>
      </c>
      <c r="I423">
        <v>5.1874000000000002</v>
      </c>
      <c r="J423">
        <v>95</v>
      </c>
      <c r="K423">
        <v>212</v>
      </c>
    </row>
    <row r="424" spans="1:11" x14ac:dyDescent="0.25">
      <c r="A424">
        <v>27</v>
      </c>
      <c r="B424">
        <v>2</v>
      </c>
      <c r="C424">
        <v>33.6</v>
      </c>
      <c r="D424">
        <v>110</v>
      </c>
      <c r="E424">
        <v>246</v>
      </c>
      <c r="F424">
        <v>156.6</v>
      </c>
      <c r="G424">
        <v>57</v>
      </c>
      <c r="H424">
        <v>4</v>
      </c>
      <c r="I424">
        <v>5.0876000000000001</v>
      </c>
      <c r="J424">
        <v>89</v>
      </c>
      <c r="K424">
        <v>233</v>
      </c>
    </row>
    <row r="425" spans="1:11" x14ac:dyDescent="0.25">
      <c r="A425">
        <v>51</v>
      </c>
      <c r="B425">
        <v>2</v>
      </c>
      <c r="C425">
        <v>22.7</v>
      </c>
      <c r="D425">
        <v>103</v>
      </c>
      <c r="E425">
        <v>217</v>
      </c>
      <c r="F425">
        <v>162.4</v>
      </c>
      <c r="G425">
        <v>30</v>
      </c>
      <c r="H425">
        <v>7</v>
      </c>
      <c r="I425">
        <v>4.8121999999999998</v>
      </c>
      <c r="J425">
        <v>80</v>
      </c>
      <c r="K425">
        <v>91</v>
      </c>
    </row>
    <row r="426" spans="1:11" x14ac:dyDescent="0.25">
      <c r="A426">
        <v>49</v>
      </c>
      <c r="B426">
        <v>2</v>
      </c>
      <c r="C426">
        <v>27.4</v>
      </c>
      <c r="D426">
        <v>89</v>
      </c>
      <c r="E426">
        <v>177</v>
      </c>
      <c r="F426">
        <v>113</v>
      </c>
      <c r="G426">
        <v>37</v>
      </c>
      <c r="H426">
        <v>5</v>
      </c>
      <c r="I426">
        <v>4.9053000000000004</v>
      </c>
      <c r="J426">
        <v>97</v>
      </c>
      <c r="K426">
        <v>111</v>
      </c>
    </row>
    <row r="427" spans="1:11" x14ac:dyDescent="0.25">
      <c r="A427">
        <v>27</v>
      </c>
      <c r="B427">
        <v>1</v>
      </c>
      <c r="C427">
        <v>22.6</v>
      </c>
      <c r="D427">
        <v>71</v>
      </c>
      <c r="E427">
        <v>116</v>
      </c>
      <c r="F427">
        <v>43.4</v>
      </c>
      <c r="G427">
        <v>56</v>
      </c>
      <c r="H427">
        <v>2</v>
      </c>
      <c r="I427">
        <v>4.4188000000000001</v>
      </c>
      <c r="J427">
        <v>79</v>
      </c>
      <c r="K427">
        <v>152</v>
      </c>
    </row>
    <row r="428" spans="1:11" x14ac:dyDescent="0.25">
      <c r="A428">
        <v>57</v>
      </c>
      <c r="B428">
        <v>2</v>
      </c>
      <c r="C428">
        <v>23.2</v>
      </c>
      <c r="D428">
        <v>107.33</v>
      </c>
      <c r="E428">
        <v>231</v>
      </c>
      <c r="F428">
        <v>159.4</v>
      </c>
      <c r="G428">
        <v>41</v>
      </c>
      <c r="H428">
        <v>5.63</v>
      </c>
      <c r="I428">
        <v>5.0304000000000002</v>
      </c>
      <c r="J428">
        <v>112</v>
      </c>
      <c r="K428">
        <v>120</v>
      </c>
    </row>
    <row r="429" spans="1:11" x14ac:dyDescent="0.25">
      <c r="A429">
        <v>39</v>
      </c>
      <c r="B429">
        <v>2</v>
      </c>
      <c r="C429">
        <v>26.9</v>
      </c>
      <c r="D429">
        <v>93</v>
      </c>
      <c r="E429">
        <v>136</v>
      </c>
      <c r="F429">
        <v>75.400000000000006</v>
      </c>
      <c r="G429">
        <v>48</v>
      </c>
      <c r="H429">
        <v>3</v>
      </c>
      <c r="I429">
        <v>4.1430999999999996</v>
      </c>
      <c r="J429">
        <v>99</v>
      </c>
      <c r="K429">
        <v>67</v>
      </c>
    </row>
    <row r="430" spans="1:11" x14ac:dyDescent="0.25">
      <c r="A430">
        <v>62</v>
      </c>
      <c r="B430">
        <v>2</v>
      </c>
      <c r="C430">
        <v>34.6</v>
      </c>
      <c r="D430">
        <v>120</v>
      </c>
      <c r="E430">
        <v>215</v>
      </c>
      <c r="F430">
        <v>129.19999999999999</v>
      </c>
      <c r="G430">
        <v>43</v>
      </c>
      <c r="H430">
        <v>5</v>
      </c>
      <c r="I430">
        <v>5.3659999999999997</v>
      </c>
      <c r="J430">
        <v>123</v>
      </c>
      <c r="K430">
        <v>310</v>
      </c>
    </row>
    <row r="431" spans="1:11" x14ac:dyDescent="0.25">
      <c r="A431">
        <v>37</v>
      </c>
      <c r="B431">
        <v>1</v>
      </c>
      <c r="C431">
        <v>23.3</v>
      </c>
      <c r="D431">
        <v>88</v>
      </c>
      <c r="E431">
        <v>223</v>
      </c>
      <c r="F431">
        <v>142</v>
      </c>
      <c r="G431">
        <v>65</v>
      </c>
      <c r="H431">
        <v>3.4</v>
      </c>
      <c r="I431">
        <v>4.3567</v>
      </c>
      <c r="J431">
        <v>82</v>
      </c>
      <c r="K431">
        <v>94</v>
      </c>
    </row>
    <row r="432" spans="1:11" x14ac:dyDescent="0.25">
      <c r="A432">
        <v>46</v>
      </c>
      <c r="B432">
        <v>1</v>
      </c>
      <c r="C432">
        <v>21.1</v>
      </c>
      <c r="D432">
        <v>80</v>
      </c>
      <c r="E432">
        <v>205</v>
      </c>
      <c r="F432">
        <v>144.4</v>
      </c>
      <c r="G432">
        <v>42</v>
      </c>
      <c r="H432">
        <v>5</v>
      </c>
      <c r="I432">
        <v>4.5326000000000004</v>
      </c>
      <c r="J432">
        <v>87</v>
      </c>
      <c r="K432">
        <v>183</v>
      </c>
    </row>
    <row r="433" spans="1:11" x14ac:dyDescent="0.25">
      <c r="A433">
        <v>68</v>
      </c>
      <c r="B433">
        <v>2</v>
      </c>
      <c r="C433">
        <v>23.5</v>
      </c>
      <c r="D433">
        <v>101</v>
      </c>
      <c r="E433">
        <v>162</v>
      </c>
      <c r="F433">
        <v>85.4</v>
      </c>
      <c r="G433">
        <v>59</v>
      </c>
      <c r="H433">
        <v>3</v>
      </c>
      <c r="I433">
        <v>4.4772999999999996</v>
      </c>
      <c r="J433">
        <v>91</v>
      </c>
      <c r="K433">
        <v>66</v>
      </c>
    </row>
    <row r="434" spans="1:11" x14ac:dyDescent="0.25">
      <c r="A434">
        <v>51</v>
      </c>
      <c r="B434">
        <v>1</v>
      </c>
      <c r="C434">
        <v>31.5</v>
      </c>
      <c r="D434">
        <v>93</v>
      </c>
      <c r="E434">
        <v>231</v>
      </c>
      <c r="F434">
        <v>144</v>
      </c>
      <c r="G434">
        <v>49</v>
      </c>
      <c r="H434">
        <v>4.7</v>
      </c>
      <c r="I434">
        <v>5.2523</v>
      </c>
      <c r="J434">
        <v>117</v>
      </c>
      <c r="K434">
        <v>173</v>
      </c>
    </row>
    <row r="435" spans="1:11" x14ac:dyDescent="0.25">
      <c r="A435">
        <v>41</v>
      </c>
      <c r="B435">
        <v>1</v>
      </c>
      <c r="C435">
        <v>20.8</v>
      </c>
      <c r="D435">
        <v>86</v>
      </c>
      <c r="E435">
        <v>223</v>
      </c>
      <c r="F435">
        <v>128.19999999999999</v>
      </c>
      <c r="G435">
        <v>83</v>
      </c>
      <c r="H435">
        <v>3</v>
      </c>
      <c r="I435">
        <v>4.0774999999999997</v>
      </c>
      <c r="J435">
        <v>89</v>
      </c>
      <c r="K435">
        <v>72</v>
      </c>
    </row>
    <row r="436" spans="1:11" x14ac:dyDescent="0.25">
      <c r="A436">
        <v>53</v>
      </c>
      <c r="B436">
        <v>1</v>
      </c>
      <c r="C436">
        <v>26.5</v>
      </c>
      <c r="D436">
        <v>97</v>
      </c>
      <c r="E436">
        <v>193</v>
      </c>
      <c r="F436">
        <v>122.4</v>
      </c>
      <c r="G436">
        <v>58</v>
      </c>
      <c r="H436">
        <v>3</v>
      </c>
      <c r="I436">
        <v>4.1430999999999996</v>
      </c>
      <c r="J436">
        <v>99</v>
      </c>
      <c r="K436">
        <v>49</v>
      </c>
    </row>
    <row r="437" spans="1:11" x14ac:dyDescent="0.25">
      <c r="A437">
        <v>45</v>
      </c>
      <c r="B437">
        <v>1</v>
      </c>
      <c r="C437">
        <v>24.2</v>
      </c>
      <c r="D437">
        <v>83</v>
      </c>
      <c r="E437">
        <v>177</v>
      </c>
      <c r="F437">
        <v>118.4</v>
      </c>
      <c r="G437">
        <v>45</v>
      </c>
      <c r="H437">
        <v>4</v>
      </c>
      <c r="I437">
        <v>4.2195</v>
      </c>
      <c r="J437">
        <v>82</v>
      </c>
      <c r="K437">
        <v>64</v>
      </c>
    </row>
    <row r="438" spans="1:11" x14ac:dyDescent="0.25">
      <c r="A438">
        <v>33</v>
      </c>
      <c r="B438">
        <v>1</v>
      </c>
      <c r="C438">
        <v>19.5</v>
      </c>
      <c r="D438">
        <v>80</v>
      </c>
      <c r="E438">
        <v>171</v>
      </c>
      <c r="F438">
        <v>85.4</v>
      </c>
      <c r="G438">
        <v>75</v>
      </c>
      <c r="H438">
        <v>2</v>
      </c>
      <c r="I438">
        <v>3.9702999999999999</v>
      </c>
      <c r="J438">
        <v>80</v>
      </c>
      <c r="K438">
        <v>48</v>
      </c>
    </row>
    <row r="439" spans="1:11" x14ac:dyDescent="0.25">
      <c r="A439">
        <v>60</v>
      </c>
      <c r="B439">
        <v>2</v>
      </c>
      <c r="C439">
        <v>28.2</v>
      </c>
      <c r="D439">
        <v>112</v>
      </c>
      <c r="E439">
        <v>185</v>
      </c>
      <c r="F439">
        <v>113.8</v>
      </c>
      <c r="G439">
        <v>42</v>
      </c>
      <c r="H439">
        <v>4</v>
      </c>
      <c r="I439">
        <v>4.9836</v>
      </c>
      <c r="J439">
        <v>93</v>
      </c>
      <c r="K439">
        <v>178</v>
      </c>
    </row>
    <row r="440" spans="1:11" x14ac:dyDescent="0.25">
      <c r="A440">
        <v>47</v>
      </c>
      <c r="B440">
        <v>2</v>
      </c>
      <c r="C440">
        <v>24.9</v>
      </c>
      <c r="D440">
        <v>75</v>
      </c>
      <c r="E440">
        <v>225</v>
      </c>
      <c r="F440">
        <v>166</v>
      </c>
      <c r="G440">
        <v>42</v>
      </c>
      <c r="H440">
        <v>5</v>
      </c>
      <c r="I440">
        <v>4.4427000000000003</v>
      </c>
      <c r="J440">
        <v>102</v>
      </c>
      <c r="K440">
        <v>104</v>
      </c>
    </row>
    <row r="441" spans="1:11" x14ac:dyDescent="0.25">
      <c r="A441">
        <v>60</v>
      </c>
      <c r="B441">
        <v>2</v>
      </c>
      <c r="C441">
        <v>24.9</v>
      </c>
      <c r="D441">
        <v>99.67</v>
      </c>
      <c r="E441">
        <v>162</v>
      </c>
      <c r="F441">
        <v>106.6</v>
      </c>
      <c r="G441">
        <v>43</v>
      </c>
      <c r="H441">
        <v>3.77</v>
      </c>
      <c r="I441">
        <v>4.1271000000000004</v>
      </c>
      <c r="J441">
        <v>95</v>
      </c>
      <c r="K441">
        <v>132</v>
      </c>
    </row>
    <row r="442" spans="1:11" x14ac:dyDescent="0.25">
      <c r="A442">
        <v>36</v>
      </c>
      <c r="B442">
        <v>1</v>
      </c>
      <c r="C442">
        <v>30</v>
      </c>
      <c r="D442">
        <v>95</v>
      </c>
      <c r="E442">
        <v>201</v>
      </c>
      <c r="F442">
        <v>125.2</v>
      </c>
      <c r="G442">
        <v>42</v>
      </c>
      <c r="H442">
        <v>4.79</v>
      </c>
      <c r="I442">
        <v>5.1299000000000001</v>
      </c>
      <c r="J442">
        <v>85</v>
      </c>
      <c r="K442">
        <v>220</v>
      </c>
    </row>
    <row r="443" spans="1:11" x14ac:dyDescent="0.25">
      <c r="A443">
        <v>36</v>
      </c>
      <c r="B443">
        <v>1</v>
      </c>
      <c r="C443">
        <v>19.600000000000001</v>
      </c>
      <c r="D443">
        <v>71</v>
      </c>
      <c r="E443">
        <v>250</v>
      </c>
      <c r="F443">
        <v>133.19999999999999</v>
      </c>
      <c r="G443">
        <v>97</v>
      </c>
      <c r="H443">
        <v>3</v>
      </c>
      <c r="I443">
        <v>4.5951000000000004</v>
      </c>
      <c r="J443">
        <v>92</v>
      </c>
      <c r="K443">
        <v>57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8A916-19F9-416D-98BB-8861588E31A3}">
  <dimension ref="A1:B4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2.85546875" bestFit="1" customWidth="1"/>
  </cols>
  <sheetData>
    <row r="1" spans="1:2" x14ac:dyDescent="0.25">
      <c r="A1" s="6" t="s">
        <v>17</v>
      </c>
      <c r="B1" t="s">
        <v>20</v>
      </c>
    </row>
    <row r="2" spans="1:2" x14ac:dyDescent="0.25">
      <c r="A2" s="7">
        <v>1</v>
      </c>
      <c r="B2" s="5">
        <v>35020</v>
      </c>
    </row>
    <row r="3" spans="1:2" x14ac:dyDescent="0.25">
      <c r="A3" s="7">
        <v>2</v>
      </c>
      <c r="B3" s="5">
        <v>32223</v>
      </c>
    </row>
    <row r="4" spans="1:2" x14ac:dyDescent="0.25">
      <c r="A4" s="7" t="s">
        <v>18</v>
      </c>
      <c r="B4" s="5">
        <v>67243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9B812-4876-465A-BDA4-30181AB2949E}">
  <dimension ref="A1:D166"/>
  <sheetViews>
    <sheetView workbookViewId="0">
      <selection activeCell="B12" sqref="B1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6" bestFit="1" customWidth="1"/>
    <col min="4" max="4" width="11.28515625" bestFit="1" customWidth="1"/>
    <col min="5" max="7" width="5" bestFit="1" customWidth="1"/>
    <col min="8" max="8" width="4" bestFit="1" customWidth="1"/>
    <col min="9" max="16" width="5" bestFit="1" customWidth="1"/>
    <col min="17" max="17" width="3" bestFit="1" customWidth="1"/>
    <col min="18" max="26" width="5" bestFit="1" customWidth="1"/>
    <col min="27" max="27" width="4" bestFit="1" customWidth="1"/>
    <col min="28" max="36" width="5" bestFit="1" customWidth="1"/>
    <col min="37" max="37" width="4" bestFit="1" customWidth="1"/>
    <col min="38" max="46" width="5" bestFit="1" customWidth="1"/>
    <col min="47" max="47" width="4" bestFit="1" customWidth="1"/>
    <col min="48" max="56" width="5" bestFit="1" customWidth="1"/>
    <col min="57" max="57" width="4" bestFit="1" customWidth="1"/>
    <col min="58" max="66" width="5" bestFit="1" customWidth="1"/>
    <col min="67" max="67" width="4" bestFit="1" customWidth="1"/>
    <col min="68" max="76" width="5" bestFit="1" customWidth="1"/>
    <col min="77" max="77" width="4" bestFit="1" customWidth="1"/>
    <col min="78" max="86" width="5" bestFit="1" customWidth="1"/>
    <col min="87" max="87" width="4" bestFit="1" customWidth="1"/>
    <col min="88" max="94" width="5" bestFit="1" customWidth="1"/>
    <col min="95" max="95" width="4" bestFit="1" customWidth="1"/>
    <col min="96" max="104" width="5" bestFit="1" customWidth="1"/>
    <col min="105" max="105" width="4" bestFit="1" customWidth="1"/>
    <col min="106" max="113" width="5" bestFit="1" customWidth="1"/>
    <col min="114" max="114" width="4" bestFit="1" customWidth="1"/>
    <col min="115" max="122" width="5" bestFit="1" customWidth="1"/>
    <col min="123" max="123" width="4" bestFit="1" customWidth="1"/>
    <col min="124" max="138" width="5" bestFit="1" customWidth="1"/>
    <col min="139" max="139" width="4" bestFit="1" customWidth="1"/>
    <col min="140" max="148" width="5" bestFit="1" customWidth="1"/>
    <col min="149" max="149" width="4" bestFit="1" customWidth="1"/>
    <col min="150" max="156" width="5" bestFit="1" customWidth="1"/>
    <col min="157" max="157" width="4" bestFit="1" customWidth="1"/>
    <col min="158" max="158" width="5" bestFit="1" customWidth="1"/>
    <col min="159" max="159" width="4" bestFit="1" customWidth="1"/>
    <col min="160" max="164" width="5" bestFit="1" customWidth="1"/>
    <col min="165" max="165" width="11.28515625" bestFit="1" customWidth="1"/>
    <col min="166" max="173" width="5" bestFit="1" customWidth="1"/>
    <col min="174" max="174" width="4" bestFit="1" customWidth="1"/>
    <col min="175" max="183" width="5" bestFit="1" customWidth="1"/>
    <col min="184" max="184" width="4" bestFit="1" customWidth="1"/>
    <col min="185" max="193" width="5" bestFit="1" customWidth="1"/>
    <col min="194" max="194" width="4" bestFit="1" customWidth="1"/>
    <col min="195" max="201" width="5" bestFit="1" customWidth="1"/>
    <col min="202" max="202" width="4" bestFit="1" customWidth="1"/>
    <col min="203" max="209" width="5" bestFit="1" customWidth="1"/>
    <col min="210" max="210" width="4" bestFit="1" customWidth="1"/>
    <col min="211" max="214" width="5" bestFit="1" customWidth="1"/>
    <col min="215" max="215" width="3" bestFit="1" customWidth="1"/>
    <col min="216" max="220" width="5" bestFit="1" customWidth="1"/>
    <col min="221" max="221" width="4" bestFit="1" customWidth="1"/>
    <col min="222" max="227" width="5" bestFit="1" customWidth="1"/>
    <col min="228" max="228" width="4" bestFit="1" customWidth="1"/>
    <col min="229" max="232" width="5" bestFit="1" customWidth="1"/>
    <col min="233" max="233" width="4" bestFit="1" customWidth="1"/>
    <col min="234" max="245" width="5" bestFit="1" customWidth="1"/>
    <col min="246" max="246" width="4" bestFit="1" customWidth="1"/>
    <col min="247" max="249" width="5" bestFit="1" customWidth="1"/>
    <col min="250" max="250" width="6.85546875" bestFit="1" customWidth="1"/>
    <col min="251" max="251" width="11.28515625" bestFit="1" customWidth="1"/>
  </cols>
  <sheetData>
    <row r="1" spans="1:4" x14ac:dyDescent="0.25">
      <c r="A1" s="6" t="s">
        <v>20</v>
      </c>
      <c r="B1" s="6" t="s">
        <v>19</v>
      </c>
    </row>
    <row r="2" spans="1:4" x14ac:dyDescent="0.25">
      <c r="A2" s="6" t="s">
        <v>17</v>
      </c>
      <c r="B2">
        <v>1</v>
      </c>
      <c r="C2">
        <v>2</v>
      </c>
      <c r="D2" t="s">
        <v>18</v>
      </c>
    </row>
    <row r="3" spans="1:4" x14ac:dyDescent="0.25">
      <c r="A3" s="7">
        <v>18</v>
      </c>
      <c r="B3" s="5"/>
      <c r="C3" s="5">
        <v>94</v>
      </c>
      <c r="D3" s="5">
        <v>94</v>
      </c>
    </row>
    <row r="4" spans="1:4" x14ac:dyDescent="0.25">
      <c r="A4" s="7">
        <v>18.100000000000001</v>
      </c>
      <c r="B4" s="5"/>
      <c r="C4" s="5">
        <v>104</v>
      </c>
      <c r="D4" s="5">
        <v>104</v>
      </c>
    </row>
    <row r="5" spans="1:4" x14ac:dyDescent="0.25">
      <c r="A5" s="7">
        <v>18.5</v>
      </c>
      <c r="B5" s="5">
        <v>90</v>
      </c>
      <c r="C5" s="5"/>
      <c r="D5" s="5">
        <v>90</v>
      </c>
    </row>
    <row r="6" spans="1:4" x14ac:dyDescent="0.25">
      <c r="A6" s="7">
        <v>18.600000000000001</v>
      </c>
      <c r="B6" s="5">
        <v>101</v>
      </c>
      <c r="C6" s="5"/>
      <c r="D6" s="5">
        <v>101</v>
      </c>
    </row>
    <row r="7" spans="1:4" x14ac:dyDescent="0.25">
      <c r="A7" s="7">
        <v>18.8</v>
      </c>
      <c r="B7" s="5">
        <v>136</v>
      </c>
      <c r="C7" s="5"/>
      <c r="D7" s="5">
        <v>136</v>
      </c>
    </row>
    <row r="8" spans="1:4" x14ac:dyDescent="0.25">
      <c r="A8" s="7">
        <v>18.899999999999999</v>
      </c>
      <c r="B8" s="5">
        <v>72</v>
      </c>
      <c r="C8" s="5"/>
      <c r="D8" s="5">
        <v>72</v>
      </c>
    </row>
    <row r="9" spans="1:4" x14ac:dyDescent="0.25">
      <c r="A9" s="7">
        <v>19</v>
      </c>
      <c r="B9" s="5"/>
      <c r="C9" s="5">
        <v>101</v>
      </c>
      <c r="D9" s="5">
        <v>101</v>
      </c>
    </row>
    <row r="10" spans="1:4" x14ac:dyDescent="0.25">
      <c r="A10" s="7">
        <v>19.2</v>
      </c>
      <c r="B10" s="5">
        <v>137</v>
      </c>
      <c r="C10" s="5">
        <v>116</v>
      </c>
      <c r="D10" s="5">
        <v>253</v>
      </c>
    </row>
    <row r="11" spans="1:4" x14ac:dyDescent="0.25">
      <c r="A11" s="7">
        <v>19.3</v>
      </c>
      <c r="B11" s="5">
        <v>134</v>
      </c>
      <c r="C11" s="5"/>
      <c r="D11" s="5">
        <v>134</v>
      </c>
    </row>
    <row r="12" spans="1:4" x14ac:dyDescent="0.25">
      <c r="A12" s="7">
        <v>19.399999999999999</v>
      </c>
      <c r="B12" s="5"/>
      <c r="C12" s="5">
        <v>55</v>
      </c>
      <c r="D12" s="5">
        <v>55</v>
      </c>
    </row>
    <row r="13" spans="1:4" x14ac:dyDescent="0.25">
      <c r="A13" s="7">
        <v>19.5</v>
      </c>
      <c r="B13" s="5">
        <v>48</v>
      </c>
      <c r="C13" s="5"/>
      <c r="D13" s="5">
        <v>48</v>
      </c>
    </row>
    <row r="14" spans="1:4" x14ac:dyDescent="0.25">
      <c r="A14" s="7">
        <v>19.600000000000001</v>
      </c>
      <c r="B14" s="5">
        <v>199</v>
      </c>
      <c r="C14" s="5"/>
      <c r="D14" s="5">
        <v>199</v>
      </c>
    </row>
    <row r="15" spans="1:4" x14ac:dyDescent="0.25">
      <c r="A15" s="7">
        <v>19.7</v>
      </c>
      <c r="B15" s="5"/>
      <c r="C15" s="5">
        <v>77</v>
      </c>
      <c r="D15" s="5">
        <v>77</v>
      </c>
    </row>
    <row r="16" spans="1:4" x14ac:dyDescent="0.25">
      <c r="A16" s="7">
        <v>19.8</v>
      </c>
      <c r="B16" s="5">
        <v>49</v>
      </c>
      <c r="C16" s="5"/>
      <c r="D16" s="5">
        <v>49</v>
      </c>
    </row>
    <row r="17" spans="1:4" x14ac:dyDescent="0.25">
      <c r="A17" s="7">
        <v>19.899999999999999</v>
      </c>
      <c r="B17" s="5">
        <v>269</v>
      </c>
      <c r="C17" s="5"/>
      <c r="D17" s="5">
        <v>269</v>
      </c>
    </row>
    <row r="18" spans="1:4" x14ac:dyDescent="0.25">
      <c r="A18" s="7">
        <v>20</v>
      </c>
      <c r="B18" s="5">
        <v>72</v>
      </c>
      <c r="C18" s="5"/>
      <c r="D18" s="5">
        <v>72</v>
      </c>
    </row>
    <row r="19" spans="1:4" x14ac:dyDescent="0.25">
      <c r="A19" s="7">
        <v>20.100000000000001</v>
      </c>
      <c r="B19" s="5">
        <v>55</v>
      </c>
      <c r="C19" s="5"/>
      <c r="D19" s="5">
        <v>55</v>
      </c>
    </row>
    <row r="20" spans="1:4" x14ac:dyDescent="0.25">
      <c r="A20" s="7">
        <v>20.2</v>
      </c>
      <c r="B20" s="5">
        <v>215</v>
      </c>
      <c r="C20" s="5"/>
      <c r="D20" s="5">
        <v>215</v>
      </c>
    </row>
    <row r="21" spans="1:4" x14ac:dyDescent="0.25">
      <c r="A21" s="7">
        <v>20.3</v>
      </c>
      <c r="B21" s="5">
        <v>522</v>
      </c>
      <c r="C21" s="5"/>
      <c r="D21" s="5">
        <v>522</v>
      </c>
    </row>
    <row r="22" spans="1:4" x14ac:dyDescent="0.25">
      <c r="A22" s="7">
        <v>20.399999999999999</v>
      </c>
      <c r="B22" s="5">
        <v>349</v>
      </c>
      <c r="C22" s="5"/>
      <c r="D22" s="5">
        <v>349</v>
      </c>
    </row>
    <row r="23" spans="1:4" x14ac:dyDescent="0.25">
      <c r="A23" s="7">
        <v>20.5</v>
      </c>
      <c r="B23" s="5">
        <v>102</v>
      </c>
      <c r="C23" s="5"/>
      <c r="D23" s="5">
        <v>102</v>
      </c>
    </row>
    <row r="24" spans="1:4" x14ac:dyDescent="0.25">
      <c r="A24" s="7">
        <v>20.6</v>
      </c>
      <c r="B24" s="5">
        <v>168</v>
      </c>
      <c r="C24" s="5">
        <v>45</v>
      </c>
      <c r="D24" s="5">
        <v>213</v>
      </c>
    </row>
    <row r="25" spans="1:4" x14ac:dyDescent="0.25">
      <c r="A25" s="7">
        <v>20.7</v>
      </c>
      <c r="B25" s="5">
        <v>188</v>
      </c>
      <c r="C25" s="5"/>
      <c r="D25" s="5">
        <v>188</v>
      </c>
    </row>
    <row r="26" spans="1:4" x14ac:dyDescent="0.25">
      <c r="A26" s="7">
        <v>20.8</v>
      </c>
      <c r="B26" s="5">
        <v>72</v>
      </c>
      <c r="C26" s="5">
        <v>70</v>
      </c>
      <c r="D26" s="5">
        <v>142</v>
      </c>
    </row>
    <row r="27" spans="1:4" x14ac:dyDescent="0.25">
      <c r="A27" s="7">
        <v>20.9</v>
      </c>
      <c r="B27" s="5">
        <v>150</v>
      </c>
      <c r="C27" s="5"/>
      <c r="D27" s="5">
        <v>150</v>
      </c>
    </row>
    <row r="28" spans="1:4" x14ac:dyDescent="0.25">
      <c r="A28" s="7">
        <v>21</v>
      </c>
      <c r="B28" s="5">
        <v>635</v>
      </c>
      <c r="C28" s="5">
        <v>88</v>
      </c>
      <c r="D28" s="5">
        <v>723</v>
      </c>
    </row>
    <row r="29" spans="1:4" x14ac:dyDescent="0.25">
      <c r="A29" s="7">
        <v>21.1</v>
      </c>
      <c r="B29" s="5">
        <v>251</v>
      </c>
      <c r="C29" s="5"/>
      <c r="D29" s="5">
        <v>251</v>
      </c>
    </row>
    <row r="30" spans="1:4" x14ac:dyDescent="0.25">
      <c r="A30" s="7">
        <v>21.2</v>
      </c>
      <c r="B30" s="5">
        <v>109</v>
      </c>
      <c r="C30" s="5">
        <v>237</v>
      </c>
      <c r="D30" s="5">
        <v>346</v>
      </c>
    </row>
    <row r="31" spans="1:4" x14ac:dyDescent="0.25">
      <c r="A31" s="7">
        <v>21.3</v>
      </c>
      <c r="B31" s="5">
        <v>245</v>
      </c>
      <c r="C31" s="5"/>
      <c r="D31" s="5">
        <v>245</v>
      </c>
    </row>
    <row r="32" spans="1:4" x14ac:dyDescent="0.25">
      <c r="A32" s="7">
        <v>21.4</v>
      </c>
      <c r="B32" s="5"/>
      <c r="C32" s="5">
        <v>83</v>
      </c>
      <c r="D32" s="5">
        <v>83</v>
      </c>
    </row>
    <row r="33" spans="1:4" x14ac:dyDescent="0.25">
      <c r="A33" s="7">
        <v>21.5</v>
      </c>
      <c r="B33" s="5">
        <v>181</v>
      </c>
      <c r="C33" s="5"/>
      <c r="D33" s="5">
        <v>181</v>
      </c>
    </row>
    <row r="34" spans="1:4" x14ac:dyDescent="0.25">
      <c r="A34" s="7">
        <v>21.6</v>
      </c>
      <c r="B34" s="5">
        <v>75</v>
      </c>
      <c r="C34" s="5"/>
      <c r="D34" s="5">
        <v>75</v>
      </c>
    </row>
    <row r="35" spans="1:4" x14ac:dyDescent="0.25">
      <c r="A35" s="7">
        <v>21.7</v>
      </c>
      <c r="B35" s="5">
        <v>276</v>
      </c>
      <c r="C35" s="5"/>
      <c r="D35" s="5">
        <v>276</v>
      </c>
    </row>
    <row r="36" spans="1:4" x14ac:dyDescent="0.25">
      <c r="A36" s="7">
        <v>21.8</v>
      </c>
      <c r="B36" s="5">
        <v>128</v>
      </c>
      <c r="C36" s="5"/>
      <c r="D36" s="5">
        <v>128</v>
      </c>
    </row>
    <row r="37" spans="1:4" x14ac:dyDescent="0.25">
      <c r="A37" s="7">
        <v>21.9</v>
      </c>
      <c r="B37" s="5">
        <v>207</v>
      </c>
      <c r="C37" s="5"/>
      <c r="D37" s="5">
        <v>207</v>
      </c>
    </row>
    <row r="38" spans="1:4" x14ac:dyDescent="0.25">
      <c r="A38" s="7">
        <v>22</v>
      </c>
      <c r="B38" s="5">
        <v>200</v>
      </c>
      <c r="C38" s="5">
        <v>210</v>
      </c>
      <c r="D38" s="5">
        <v>410</v>
      </c>
    </row>
    <row r="39" spans="1:4" x14ac:dyDescent="0.25">
      <c r="A39" s="7">
        <v>22.1</v>
      </c>
      <c r="B39" s="5">
        <v>507</v>
      </c>
      <c r="C39" s="5">
        <v>124</v>
      </c>
      <c r="D39" s="5">
        <v>631</v>
      </c>
    </row>
    <row r="40" spans="1:4" x14ac:dyDescent="0.25">
      <c r="A40" s="7">
        <v>22.2</v>
      </c>
      <c r="B40" s="5">
        <v>183</v>
      </c>
      <c r="C40" s="5">
        <v>102</v>
      </c>
      <c r="D40" s="5">
        <v>285</v>
      </c>
    </row>
    <row r="41" spans="1:4" x14ac:dyDescent="0.25">
      <c r="A41" s="7">
        <v>22.3</v>
      </c>
      <c r="B41" s="5"/>
      <c r="C41" s="5">
        <v>71</v>
      </c>
      <c r="D41" s="5">
        <v>71</v>
      </c>
    </row>
    <row r="42" spans="1:4" x14ac:dyDescent="0.25">
      <c r="A42" s="7">
        <v>22.4</v>
      </c>
      <c r="B42" s="5">
        <v>64</v>
      </c>
      <c r="C42" s="5"/>
      <c r="D42" s="5">
        <v>64</v>
      </c>
    </row>
    <row r="43" spans="1:4" x14ac:dyDescent="0.25">
      <c r="A43" s="7">
        <v>22.5</v>
      </c>
      <c r="B43" s="5">
        <v>288</v>
      </c>
      <c r="C43" s="5">
        <v>253</v>
      </c>
      <c r="D43" s="5">
        <v>541</v>
      </c>
    </row>
    <row r="44" spans="1:4" x14ac:dyDescent="0.25">
      <c r="A44" s="7">
        <v>22.6</v>
      </c>
      <c r="B44" s="5">
        <v>321</v>
      </c>
      <c r="C44" s="5">
        <v>113</v>
      </c>
      <c r="D44" s="5">
        <v>434</v>
      </c>
    </row>
    <row r="45" spans="1:4" x14ac:dyDescent="0.25">
      <c r="A45" s="7">
        <v>22.7</v>
      </c>
      <c r="B45" s="5">
        <v>65</v>
      </c>
      <c r="C45" s="5">
        <v>293</v>
      </c>
      <c r="D45" s="5">
        <v>358</v>
      </c>
    </row>
    <row r="46" spans="1:4" x14ac:dyDescent="0.25">
      <c r="A46" s="7">
        <v>22.8</v>
      </c>
      <c r="B46" s="5">
        <v>466</v>
      </c>
      <c r="C46" s="5">
        <v>253</v>
      </c>
      <c r="D46" s="5">
        <v>719</v>
      </c>
    </row>
    <row r="47" spans="1:4" x14ac:dyDescent="0.25">
      <c r="A47" s="7">
        <v>22.9</v>
      </c>
      <c r="B47" s="5">
        <v>241</v>
      </c>
      <c r="C47" s="5">
        <v>129</v>
      </c>
      <c r="D47" s="5">
        <v>370</v>
      </c>
    </row>
    <row r="48" spans="1:4" x14ac:dyDescent="0.25">
      <c r="A48" s="7">
        <v>23</v>
      </c>
      <c r="B48" s="5">
        <v>531</v>
      </c>
      <c r="C48" s="5">
        <v>102</v>
      </c>
      <c r="D48" s="5">
        <v>633</v>
      </c>
    </row>
    <row r="49" spans="1:4" x14ac:dyDescent="0.25">
      <c r="A49" s="7">
        <v>23.1</v>
      </c>
      <c r="B49" s="5">
        <v>177</v>
      </c>
      <c r="C49" s="5">
        <v>238</v>
      </c>
      <c r="D49" s="5">
        <v>415</v>
      </c>
    </row>
    <row r="50" spans="1:4" x14ac:dyDescent="0.25">
      <c r="A50" s="7">
        <v>23.2</v>
      </c>
      <c r="B50" s="5">
        <v>330</v>
      </c>
      <c r="C50" s="5">
        <v>120</v>
      </c>
      <c r="D50" s="5">
        <v>450</v>
      </c>
    </row>
    <row r="51" spans="1:4" x14ac:dyDescent="0.25">
      <c r="A51" s="7">
        <v>23.3</v>
      </c>
      <c r="B51" s="5">
        <v>373</v>
      </c>
      <c r="C51" s="5">
        <v>306</v>
      </c>
      <c r="D51" s="5">
        <v>679</v>
      </c>
    </row>
    <row r="52" spans="1:4" x14ac:dyDescent="0.25">
      <c r="A52" s="7">
        <v>23.4</v>
      </c>
      <c r="B52" s="5">
        <v>165</v>
      </c>
      <c r="C52" s="5">
        <v>157</v>
      </c>
      <c r="D52" s="5">
        <v>322</v>
      </c>
    </row>
    <row r="53" spans="1:4" x14ac:dyDescent="0.25">
      <c r="A53" s="7">
        <v>23.5</v>
      </c>
      <c r="B53" s="5">
        <v>154</v>
      </c>
      <c r="C53" s="5">
        <v>571</v>
      </c>
      <c r="D53" s="5">
        <v>725</v>
      </c>
    </row>
    <row r="54" spans="1:4" x14ac:dyDescent="0.25">
      <c r="A54" s="7">
        <v>23.6</v>
      </c>
      <c r="B54" s="5"/>
      <c r="C54" s="5">
        <v>543</v>
      </c>
      <c r="D54" s="5">
        <v>543</v>
      </c>
    </row>
    <row r="55" spans="1:4" x14ac:dyDescent="0.25">
      <c r="A55" s="7">
        <v>23.7</v>
      </c>
      <c r="B55" s="5">
        <v>179</v>
      </c>
      <c r="C55" s="5">
        <v>88</v>
      </c>
      <c r="D55" s="5">
        <v>267</v>
      </c>
    </row>
    <row r="56" spans="1:4" x14ac:dyDescent="0.25">
      <c r="A56" s="7">
        <v>23.8</v>
      </c>
      <c r="B56" s="5"/>
      <c r="C56" s="5">
        <v>209</v>
      </c>
      <c r="D56" s="5">
        <v>209</v>
      </c>
    </row>
    <row r="57" spans="1:4" x14ac:dyDescent="0.25">
      <c r="A57" s="7">
        <v>23.9</v>
      </c>
      <c r="B57" s="5">
        <v>152</v>
      </c>
      <c r="C57" s="5"/>
      <c r="D57" s="5">
        <v>152</v>
      </c>
    </row>
    <row r="58" spans="1:4" x14ac:dyDescent="0.25">
      <c r="A58" s="7">
        <v>24</v>
      </c>
      <c r="B58" s="5">
        <v>216</v>
      </c>
      <c r="C58" s="5">
        <v>766</v>
      </c>
      <c r="D58" s="5">
        <v>982</v>
      </c>
    </row>
    <row r="59" spans="1:4" x14ac:dyDescent="0.25">
      <c r="A59" s="7">
        <v>24.1</v>
      </c>
      <c r="B59" s="5">
        <v>150</v>
      </c>
      <c r="C59" s="5">
        <v>685</v>
      </c>
      <c r="D59" s="5">
        <v>835</v>
      </c>
    </row>
    <row r="60" spans="1:4" x14ac:dyDescent="0.25">
      <c r="A60" s="7">
        <v>24.2</v>
      </c>
      <c r="B60" s="5">
        <v>450</v>
      </c>
      <c r="C60" s="5">
        <v>142</v>
      </c>
      <c r="D60" s="5">
        <v>592</v>
      </c>
    </row>
    <row r="61" spans="1:4" x14ac:dyDescent="0.25">
      <c r="A61" s="7">
        <v>24.3</v>
      </c>
      <c r="B61" s="5">
        <v>84</v>
      </c>
      <c r="C61" s="5">
        <v>256</v>
      </c>
      <c r="D61" s="5">
        <v>340</v>
      </c>
    </row>
    <row r="62" spans="1:4" x14ac:dyDescent="0.25">
      <c r="A62" s="7">
        <v>24.4</v>
      </c>
      <c r="B62" s="5">
        <v>412</v>
      </c>
      <c r="C62" s="5">
        <v>107</v>
      </c>
      <c r="D62" s="5">
        <v>519</v>
      </c>
    </row>
    <row r="63" spans="1:4" x14ac:dyDescent="0.25">
      <c r="A63" s="7">
        <v>24.5</v>
      </c>
      <c r="B63" s="5">
        <v>478</v>
      </c>
      <c r="C63" s="5">
        <v>399</v>
      </c>
      <c r="D63" s="5">
        <v>877</v>
      </c>
    </row>
    <row r="64" spans="1:4" x14ac:dyDescent="0.25">
      <c r="A64" s="7">
        <v>24.6</v>
      </c>
      <c r="B64" s="5">
        <v>214</v>
      </c>
      <c r="C64" s="5">
        <v>219</v>
      </c>
      <c r="D64" s="5">
        <v>433</v>
      </c>
    </row>
    <row r="65" spans="1:4" x14ac:dyDescent="0.25">
      <c r="A65" s="7">
        <v>24.7</v>
      </c>
      <c r="B65" s="5">
        <v>168</v>
      </c>
      <c r="C65" s="5">
        <v>499</v>
      </c>
      <c r="D65" s="5">
        <v>667</v>
      </c>
    </row>
    <row r="66" spans="1:4" x14ac:dyDescent="0.25">
      <c r="A66" s="7">
        <v>24.8</v>
      </c>
      <c r="B66" s="5">
        <v>90</v>
      </c>
      <c r="C66" s="5">
        <v>80</v>
      </c>
      <c r="D66" s="5">
        <v>170</v>
      </c>
    </row>
    <row r="67" spans="1:4" x14ac:dyDescent="0.25">
      <c r="A67" s="7">
        <v>24.9</v>
      </c>
      <c r="B67" s="5">
        <v>255</v>
      </c>
      <c r="C67" s="5">
        <v>289</v>
      </c>
      <c r="D67" s="5">
        <v>544</v>
      </c>
    </row>
    <row r="68" spans="1:4" x14ac:dyDescent="0.25">
      <c r="A68" s="7">
        <v>25</v>
      </c>
      <c r="B68" s="5"/>
      <c r="C68" s="5">
        <v>221</v>
      </c>
      <c r="D68" s="5">
        <v>221</v>
      </c>
    </row>
    <row r="69" spans="1:4" x14ac:dyDescent="0.25">
      <c r="A69" s="7">
        <v>25.1</v>
      </c>
      <c r="B69" s="5">
        <v>216</v>
      </c>
      <c r="C69" s="5">
        <v>83</v>
      </c>
      <c r="D69" s="5">
        <v>299</v>
      </c>
    </row>
    <row r="70" spans="1:4" x14ac:dyDescent="0.25">
      <c r="A70" s="7">
        <v>25.2</v>
      </c>
      <c r="B70" s="5">
        <v>452</v>
      </c>
      <c r="C70" s="5">
        <v>293</v>
      </c>
      <c r="D70" s="5">
        <v>745</v>
      </c>
    </row>
    <row r="71" spans="1:4" x14ac:dyDescent="0.25">
      <c r="A71" s="7">
        <v>25.3</v>
      </c>
      <c r="B71" s="5">
        <v>596</v>
      </c>
      <c r="C71" s="5">
        <v>275</v>
      </c>
      <c r="D71" s="5">
        <v>871</v>
      </c>
    </row>
    <row r="72" spans="1:4" x14ac:dyDescent="0.25">
      <c r="A72" s="7">
        <v>25.4</v>
      </c>
      <c r="B72" s="5">
        <v>290</v>
      </c>
      <c r="C72" s="5">
        <v>240</v>
      </c>
      <c r="D72" s="5">
        <v>530</v>
      </c>
    </row>
    <row r="73" spans="1:4" x14ac:dyDescent="0.25">
      <c r="A73" s="7">
        <v>25.5</v>
      </c>
      <c r="B73" s="5">
        <v>59</v>
      </c>
      <c r="C73" s="5">
        <v>595</v>
      </c>
      <c r="D73" s="5">
        <v>654</v>
      </c>
    </row>
    <row r="74" spans="1:4" x14ac:dyDescent="0.25">
      <c r="A74" s="7">
        <v>25.6</v>
      </c>
      <c r="B74" s="5">
        <v>151</v>
      </c>
      <c r="C74" s="5">
        <v>569</v>
      </c>
      <c r="D74" s="5">
        <v>720</v>
      </c>
    </row>
    <row r="75" spans="1:4" x14ac:dyDescent="0.25">
      <c r="A75" s="7">
        <v>25.7</v>
      </c>
      <c r="B75" s="5">
        <v>432</v>
      </c>
      <c r="C75" s="5">
        <v>300</v>
      </c>
      <c r="D75" s="5">
        <v>732</v>
      </c>
    </row>
    <row r="76" spans="1:4" x14ac:dyDescent="0.25">
      <c r="A76" s="7">
        <v>25.8</v>
      </c>
      <c r="B76" s="5">
        <v>353</v>
      </c>
      <c r="C76" s="5">
        <v>709</v>
      </c>
      <c r="D76" s="5">
        <v>1062</v>
      </c>
    </row>
    <row r="77" spans="1:4" x14ac:dyDescent="0.25">
      <c r="A77" s="7">
        <v>25.9</v>
      </c>
      <c r="B77" s="5">
        <v>230</v>
      </c>
      <c r="C77" s="5">
        <v>334</v>
      </c>
      <c r="D77" s="5">
        <v>564</v>
      </c>
    </row>
    <row r="78" spans="1:4" x14ac:dyDescent="0.25">
      <c r="A78" s="7">
        <v>26</v>
      </c>
      <c r="B78" s="5">
        <v>415</v>
      </c>
      <c r="C78" s="5">
        <v>202</v>
      </c>
      <c r="D78" s="5">
        <v>617</v>
      </c>
    </row>
    <row r="79" spans="1:4" x14ac:dyDescent="0.25">
      <c r="A79" s="7">
        <v>26.1</v>
      </c>
      <c r="B79" s="5">
        <v>141</v>
      </c>
      <c r="C79" s="5">
        <v>356</v>
      </c>
      <c r="D79" s="5">
        <v>497</v>
      </c>
    </row>
    <row r="80" spans="1:4" x14ac:dyDescent="0.25">
      <c r="A80" s="7">
        <v>26.2</v>
      </c>
      <c r="B80" s="5"/>
      <c r="C80" s="5">
        <v>401</v>
      </c>
      <c r="D80" s="5">
        <v>401</v>
      </c>
    </row>
    <row r="81" spans="1:4" x14ac:dyDescent="0.25">
      <c r="A81" s="7">
        <v>26.3</v>
      </c>
      <c r="B81" s="5">
        <v>228</v>
      </c>
      <c r="C81" s="5">
        <v>292</v>
      </c>
      <c r="D81" s="5">
        <v>520</v>
      </c>
    </row>
    <row r="82" spans="1:4" x14ac:dyDescent="0.25">
      <c r="A82" s="7">
        <v>26.4</v>
      </c>
      <c r="B82" s="5"/>
      <c r="C82" s="5">
        <v>259</v>
      </c>
      <c r="D82" s="5">
        <v>259</v>
      </c>
    </row>
    <row r="83" spans="1:4" x14ac:dyDescent="0.25">
      <c r="A83" s="7">
        <v>26.5</v>
      </c>
      <c r="B83" s="5">
        <v>307</v>
      </c>
      <c r="C83" s="5">
        <v>618</v>
      </c>
      <c r="D83" s="5">
        <v>925</v>
      </c>
    </row>
    <row r="84" spans="1:4" x14ac:dyDescent="0.25">
      <c r="A84" s="7">
        <v>26.6</v>
      </c>
      <c r="B84" s="5"/>
      <c r="C84" s="5">
        <v>453</v>
      </c>
      <c r="D84" s="5">
        <v>453</v>
      </c>
    </row>
    <row r="85" spans="1:4" x14ac:dyDescent="0.25">
      <c r="A85" s="7">
        <v>26.7</v>
      </c>
      <c r="B85" s="5">
        <v>73</v>
      </c>
      <c r="C85" s="5">
        <v>129</v>
      </c>
      <c r="D85" s="5">
        <v>202</v>
      </c>
    </row>
    <row r="86" spans="1:4" x14ac:dyDescent="0.25">
      <c r="A86" s="7">
        <v>26.8</v>
      </c>
      <c r="B86" s="5">
        <v>498</v>
      </c>
      <c r="C86" s="5">
        <v>251</v>
      </c>
      <c r="D86" s="5">
        <v>749</v>
      </c>
    </row>
    <row r="87" spans="1:4" x14ac:dyDescent="0.25">
      <c r="A87" s="7">
        <v>26.9</v>
      </c>
      <c r="B87" s="5">
        <v>309</v>
      </c>
      <c r="C87" s="5">
        <v>516</v>
      </c>
      <c r="D87" s="5">
        <v>825</v>
      </c>
    </row>
    <row r="88" spans="1:4" x14ac:dyDescent="0.25">
      <c r="A88" s="7">
        <v>27</v>
      </c>
      <c r="B88" s="5">
        <v>358</v>
      </c>
      <c r="C88" s="5">
        <v>408</v>
      </c>
      <c r="D88" s="5">
        <v>766</v>
      </c>
    </row>
    <row r="89" spans="1:4" x14ac:dyDescent="0.25">
      <c r="A89" s="7">
        <v>27.2</v>
      </c>
      <c r="B89" s="5">
        <v>174</v>
      </c>
      <c r="C89" s="5">
        <v>127</v>
      </c>
      <c r="D89" s="5">
        <v>301</v>
      </c>
    </row>
    <row r="90" spans="1:4" x14ac:dyDescent="0.25">
      <c r="A90" s="7">
        <v>27.3</v>
      </c>
      <c r="B90" s="5">
        <v>210</v>
      </c>
      <c r="C90" s="5">
        <v>536</v>
      </c>
      <c r="D90" s="5">
        <v>746</v>
      </c>
    </row>
    <row r="91" spans="1:4" x14ac:dyDescent="0.25">
      <c r="A91" s="7">
        <v>27.4</v>
      </c>
      <c r="B91" s="5">
        <v>276</v>
      </c>
      <c r="C91" s="5">
        <v>111</v>
      </c>
      <c r="D91" s="5">
        <v>387</v>
      </c>
    </row>
    <row r="92" spans="1:4" x14ac:dyDescent="0.25">
      <c r="A92" s="7">
        <v>27.5</v>
      </c>
      <c r="B92" s="5">
        <v>143</v>
      </c>
      <c r="C92" s="5">
        <v>379</v>
      </c>
      <c r="D92" s="5">
        <v>522</v>
      </c>
    </row>
    <row r="93" spans="1:4" x14ac:dyDescent="0.25">
      <c r="A93" s="7">
        <v>27.7</v>
      </c>
      <c r="B93" s="5">
        <v>191</v>
      </c>
      <c r="C93" s="5">
        <v>867</v>
      </c>
      <c r="D93" s="5">
        <v>1058</v>
      </c>
    </row>
    <row r="94" spans="1:4" x14ac:dyDescent="0.25">
      <c r="A94" s="7">
        <v>27.8</v>
      </c>
      <c r="B94" s="5">
        <v>443</v>
      </c>
      <c r="C94" s="5">
        <v>96</v>
      </c>
      <c r="D94" s="5">
        <v>539</v>
      </c>
    </row>
    <row r="95" spans="1:4" x14ac:dyDescent="0.25">
      <c r="A95" s="7">
        <v>27.9</v>
      </c>
      <c r="B95" s="5">
        <v>268</v>
      </c>
      <c r="C95" s="5">
        <v>437</v>
      </c>
      <c r="D95" s="5">
        <v>705</v>
      </c>
    </row>
    <row r="96" spans="1:4" x14ac:dyDescent="0.25">
      <c r="A96" s="7">
        <v>28</v>
      </c>
      <c r="B96" s="5">
        <v>301</v>
      </c>
      <c r="C96" s="5">
        <v>208</v>
      </c>
      <c r="D96" s="5">
        <v>509</v>
      </c>
    </row>
    <row r="97" spans="1:4" x14ac:dyDescent="0.25">
      <c r="A97" s="7">
        <v>28.1</v>
      </c>
      <c r="B97" s="5">
        <v>634</v>
      </c>
      <c r="C97" s="5">
        <v>265</v>
      </c>
      <c r="D97" s="5">
        <v>899</v>
      </c>
    </row>
    <row r="98" spans="1:4" x14ac:dyDescent="0.25">
      <c r="A98" s="7">
        <v>28.2</v>
      </c>
      <c r="B98" s="5">
        <v>262</v>
      </c>
      <c r="C98" s="5">
        <v>415</v>
      </c>
      <c r="D98" s="5">
        <v>677</v>
      </c>
    </row>
    <row r="99" spans="1:4" x14ac:dyDescent="0.25">
      <c r="A99" s="7">
        <v>28.3</v>
      </c>
      <c r="B99" s="5">
        <v>527</v>
      </c>
      <c r="C99" s="5">
        <v>197</v>
      </c>
      <c r="D99" s="5">
        <v>724</v>
      </c>
    </row>
    <row r="100" spans="1:4" x14ac:dyDescent="0.25">
      <c r="A100" s="7">
        <v>28.4</v>
      </c>
      <c r="B100" s="5"/>
      <c r="C100" s="5">
        <v>178</v>
      </c>
      <c r="D100" s="5">
        <v>178</v>
      </c>
    </row>
    <row r="101" spans="1:4" x14ac:dyDescent="0.25">
      <c r="A101" s="7">
        <v>28.5</v>
      </c>
      <c r="B101" s="5">
        <v>265</v>
      </c>
      <c r="C101" s="5">
        <v>232</v>
      </c>
      <c r="D101" s="5">
        <v>497</v>
      </c>
    </row>
    <row r="102" spans="1:4" x14ac:dyDescent="0.25">
      <c r="A102" s="7">
        <v>28.6</v>
      </c>
      <c r="B102" s="5">
        <v>386</v>
      </c>
      <c r="C102" s="5"/>
      <c r="D102" s="5">
        <v>386</v>
      </c>
    </row>
    <row r="103" spans="1:4" x14ac:dyDescent="0.25">
      <c r="A103" s="7">
        <v>28.7</v>
      </c>
      <c r="B103" s="5">
        <v>182</v>
      </c>
      <c r="C103" s="5">
        <v>122</v>
      </c>
      <c r="D103" s="5">
        <v>304</v>
      </c>
    </row>
    <row r="104" spans="1:4" x14ac:dyDescent="0.25">
      <c r="A104" s="7">
        <v>28.8</v>
      </c>
      <c r="B104" s="5">
        <v>335</v>
      </c>
      <c r="C104" s="5">
        <v>196</v>
      </c>
      <c r="D104" s="5">
        <v>531</v>
      </c>
    </row>
    <row r="105" spans="1:4" x14ac:dyDescent="0.25">
      <c r="A105" s="7">
        <v>28.9</v>
      </c>
      <c r="B105" s="5">
        <v>225</v>
      </c>
      <c r="C105" s="5"/>
      <c r="D105" s="5">
        <v>225</v>
      </c>
    </row>
    <row r="106" spans="1:4" x14ac:dyDescent="0.25">
      <c r="A106" s="7">
        <v>29</v>
      </c>
      <c r="B106" s="5">
        <v>302</v>
      </c>
      <c r="C106" s="5">
        <v>315</v>
      </c>
      <c r="D106" s="5">
        <v>617</v>
      </c>
    </row>
    <row r="107" spans="1:4" x14ac:dyDescent="0.25">
      <c r="A107" s="7">
        <v>29.2</v>
      </c>
      <c r="B107" s="5">
        <v>294</v>
      </c>
      <c r="C107" s="5">
        <v>668</v>
      </c>
      <c r="D107" s="5">
        <v>962</v>
      </c>
    </row>
    <row r="108" spans="1:4" x14ac:dyDescent="0.25">
      <c r="A108" s="7">
        <v>29.3</v>
      </c>
      <c r="B108" s="5">
        <v>296</v>
      </c>
      <c r="C108" s="5"/>
      <c r="D108" s="5">
        <v>296</v>
      </c>
    </row>
    <row r="109" spans="1:4" x14ac:dyDescent="0.25">
      <c r="A109" s="7">
        <v>29.4</v>
      </c>
      <c r="B109" s="5"/>
      <c r="C109" s="5">
        <v>208</v>
      </c>
      <c r="D109" s="5">
        <v>208</v>
      </c>
    </row>
    <row r="110" spans="1:4" x14ac:dyDescent="0.25">
      <c r="A110" s="7">
        <v>29.5</v>
      </c>
      <c r="B110" s="5">
        <v>618</v>
      </c>
      <c r="C110" s="5"/>
      <c r="D110" s="5">
        <v>618</v>
      </c>
    </row>
    <row r="111" spans="1:4" x14ac:dyDescent="0.25">
      <c r="A111" s="7">
        <v>29.6</v>
      </c>
      <c r="B111" s="5">
        <v>236</v>
      </c>
      <c r="C111" s="5">
        <v>84</v>
      </c>
      <c r="D111" s="5">
        <v>320</v>
      </c>
    </row>
    <row r="112" spans="1:4" x14ac:dyDescent="0.25">
      <c r="A112" s="7">
        <v>29.7</v>
      </c>
      <c r="B112" s="5">
        <v>184</v>
      </c>
      <c r="C112" s="5">
        <v>248</v>
      </c>
      <c r="D112" s="5">
        <v>432</v>
      </c>
    </row>
    <row r="113" spans="1:4" x14ac:dyDescent="0.25">
      <c r="A113" s="7">
        <v>29.8</v>
      </c>
      <c r="B113" s="5">
        <v>160</v>
      </c>
      <c r="C113" s="5"/>
      <c r="D113" s="5">
        <v>160</v>
      </c>
    </row>
    <row r="114" spans="1:4" x14ac:dyDescent="0.25">
      <c r="A114" s="7">
        <v>29.9</v>
      </c>
      <c r="B114" s="5">
        <v>167</v>
      </c>
      <c r="C114" s="5"/>
      <c r="D114" s="5">
        <v>167</v>
      </c>
    </row>
    <row r="115" spans="1:4" x14ac:dyDescent="0.25">
      <c r="A115" s="7">
        <v>30</v>
      </c>
      <c r="B115" s="5">
        <v>776</v>
      </c>
      <c r="C115" s="5">
        <v>85</v>
      </c>
      <c r="D115" s="5">
        <v>861</v>
      </c>
    </row>
    <row r="116" spans="1:4" x14ac:dyDescent="0.25">
      <c r="A116" s="7">
        <v>30.1</v>
      </c>
      <c r="B116" s="5">
        <v>482</v>
      </c>
      <c r="C116" s="5"/>
      <c r="D116" s="5">
        <v>482</v>
      </c>
    </row>
    <row r="117" spans="1:4" x14ac:dyDescent="0.25">
      <c r="A117" s="7">
        <v>30.2</v>
      </c>
      <c r="B117" s="5">
        <v>52</v>
      </c>
      <c r="C117" s="5">
        <v>198</v>
      </c>
      <c r="D117" s="5">
        <v>250</v>
      </c>
    </row>
    <row r="118" spans="1:4" x14ac:dyDescent="0.25">
      <c r="A118" s="7">
        <v>30.3</v>
      </c>
      <c r="B118" s="5">
        <v>166</v>
      </c>
      <c r="C118" s="5">
        <v>137</v>
      </c>
      <c r="D118" s="5">
        <v>303</v>
      </c>
    </row>
    <row r="119" spans="1:4" x14ac:dyDescent="0.25">
      <c r="A119" s="7">
        <v>30.4</v>
      </c>
      <c r="B119" s="5">
        <v>298</v>
      </c>
      <c r="C119" s="5"/>
      <c r="D119" s="5">
        <v>298</v>
      </c>
    </row>
    <row r="120" spans="1:4" x14ac:dyDescent="0.25">
      <c r="A120" s="7">
        <v>30.5</v>
      </c>
      <c r="B120" s="5">
        <v>129</v>
      </c>
      <c r="C120" s="5">
        <v>141</v>
      </c>
      <c r="D120" s="5">
        <v>270</v>
      </c>
    </row>
    <row r="121" spans="1:4" x14ac:dyDescent="0.25">
      <c r="A121" s="7">
        <v>30.6</v>
      </c>
      <c r="B121" s="5">
        <v>377</v>
      </c>
      <c r="C121" s="5">
        <v>504</v>
      </c>
      <c r="D121" s="5">
        <v>881</v>
      </c>
    </row>
    <row r="122" spans="1:4" x14ac:dyDescent="0.25">
      <c r="A122" s="7">
        <v>30.7</v>
      </c>
      <c r="B122" s="5">
        <v>99</v>
      </c>
      <c r="C122" s="5">
        <v>174</v>
      </c>
      <c r="D122" s="5">
        <v>273</v>
      </c>
    </row>
    <row r="123" spans="1:4" x14ac:dyDescent="0.25">
      <c r="A123" s="7">
        <v>30.8</v>
      </c>
      <c r="B123" s="5">
        <v>575</v>
      </c>
      <c r="C123" s="5"/>
      <c r="D123" s="5">
        <v>575</v>
      </c>
    </row>
    <row r="124" spans="1:4" x14ac:dyDescent="0.25">
      <c r="A124" s="7">
        <v>31</v>
      </c>
      <c r="B124" s="5">
        <v>424</v>
      </c>
      <c r="C124" s="5">
        <v>221</v>
      </c>
      <c r="D124" s="5">
        <v>645</v>
      </c>
    </row>
    <row r="125" spans="1:4" x14ac:dyDescent="0.25">
      <c r="A125" s="7">
        <v>31.2</v>
      </c>
      <c r="B125" s="5">
        <v>394</v>
      </c>
      <c r="C125" s="5"/>
      <c r="D125" s="5">
        <v>394</v>
      </c>
    </row>
    <row r="126" spans="1:4" x14ac:dyDescent="0.25">
      <c r="A126" s="7">
        <v>31.3</v>
      </c>
      <c r="B126" s="5"/>
      <c r="C126" s="5">
        <v>163</v>
      </c>
      <c r="D126" s="5">
        <v>163</v>
      </c>
    </row>
    <row r="127" spans="1:4" x14ac:dyDescent="0.25">
      <c r="A127" s="7">
        <v>31.4</v>
      </c>
      <c r="B127" s="5">
        <v>627</v>
      </c>
      <c r="C127" s="5">
        <v>187</v>
      </c>
      <c r="D127" s="5">
        <v>814</v>
      </c>
    </row>
    <row r="128" spans="1:4" x14ac:dyDescent="0.25">
      <c r="A128" s="7">
        <v>31.5</v>
      </c>
      <c r="B128" s="5">
        <v>173</v>
      </c>
      <c r="C128" s="5">
        <v>68</v>
      </c>
      <c r="D128" s="5">
        <v>241</v>
      </c>
    </row>
    <row r="129" spans="1:4" x14ac:dyDescent="0.25">
      <c r="A129" s="7">
        <v>31.6</v>
      </c>
      <c r="B129" s="5">
        <v>575</v>
      </c>
      <c r="C129" s="5">
        <v>310</v>
      </c>
      <c r="D129" s="5">
        <v>885</v>
      </c>
    </row>
    <row r="130" spans="1:4" x14ac:dyDescent="0.25">
      <c r="A130" s="7">
        <v>31.8</v>
      </c>
      <c r="B130" s="5">
        <v>136</v>
      </c>
      <c r="C130" s="5">
        <v>275</v>
      </c>
      <c r="D130" s="5">
        <v>411</v>
      </c>
    </row>
    <row r="131" spans="1:4" x14ac:dyDescent="0.25">
      <c r="A131" s="7">
        <v>31.9</v>
      </c>
      <c r="B131" s="5">
        <v>176</v>
      </c>
      <c r="C131" s="5">
        <v>709</v>
      </c>
      <c r="D131" s="5">
        <v>885</v>
      </c>
    </row>
    <row r="132" spans="1:4" x14ac:dyDescent="0.25">
      <c r="A132" s="7">
        <v>32</v>
      </c>
      <c r="B132" s="5">
        <v>347</v>
      </c>
      <c r="C132" s="5">
        <v>674</v>
      </c>
      <c r="D132" s="5">
        <v>1021</v>
      </c>
    </row>
    <row r="133" spans="1:4" x14ac:dyDescent="0.25">
      <c r="A133" s="7">
        <v>32.1</v>
      </c>
      <c r="B133" s="5">
        <v>281</v>
      </c>
      <c r="C133" s="5">
        <v>503</v>
      </c>
      <c r="D133" s="5">
        <v>784</v>
      </c>
    </row>
    <row r="134" spans="1:4" x14ac:dyDescent="0.25">
      <c r="A134" s="7">
        <v>32.299999999999997</v>
      </c>
      <c r="B134" s="5"/>
      <c r="C134" s="5">
        <v>217</v>
      </c>
      <c r="D134" s="5">
        <v>217</v>
      </c>
    </row>
    <row r="135" spans="1:4" x14ac:dyDescent="0.25">
      <c r="A135" s="7">
        <v>32.4</v>
      </c>
      <c r="B135" s="5">
        <v>204</v>
      </c>
      <c r="C135" s="5"/>
      <c r="D135" s="5">
        <v>204</v>
      </c>
    </row>
    <row r="136" spans="1:4" x14ac:dyDescent="0.25">
      <c r="A136" s="7">
        <v>32.6</v>
      </c>
      <c r="B136" s="5">
        <v>78</v>
      </c>
      <c r="C136" s="5"/>
      <c r="D136" s="5">
        <v>78</v>
      </c>
    </row>
    <row r="137" spans="1:4" x14ac:dyDescent="0.25">
      <c r="A137" s="7">
        <v>32.700000000000003</v>
      </c>
      <c r="B137" s="5">
        <v>121</v>
      </c>
      <c r="C137" s="5">
        <v>259</v>
      </c>
      <c r="D137" s="5">
        <v>380</v>
      </c>
    </row>
    <row r="138" spans="1:4" x14ac:dyDescent="0.25">
      <c r="A138" s="7">
        <v>32.799999999999997</v>
      </c>
      <c r="B138" s="5">
        <v>220</v>
      </c>
      <c r="C138" s="5">
        <v>277</v>
      </c>
      <c r="D138" s="5">
        <v>497</v>
      </c>
    </row>
    <row r="139" spans="1:4" x14ac:dyDescent="0.25">
      <c r="A139" s="7">
        <v>32.9</v>
      </c>
      <c r="B139" s="5">
        <v>288</v>
      </c>
      <c r="C139" s="5"/>
      <c r="D139" s="5">
        <v>288</v>
      </c>
    </row>
    <row r="140" spans="1:4" x14ac:dyDescent="0.25">
      <c r="A140" s="7">
        <v>33</v>
      </c>
      <c r="B140" s="5">
        <v>196</v>
      </c>
      <c r="C140" s="5">
        <v>767</v>
      </c>
      <c r="D140" s="5">
        <v>963</v>
      </c>
    </row>
    <row r="141" spans="1:4" x14ac:dyDescent="0.25">
      <c r="A141" s="7">
        <v>33.1</v>
      </c>
      <c r="B141" s="5"/>
      <c r="C141" s="5">
        <v>131</v>
      </c>
      <c r="D141" s="5">
        <v>131</v>
      </c>
    </row>
    <row r="142" spans="1:4" x14ac:dyDescent="0.25">
      <c r="A142" s="7">
        <v>33.200000000000003</v>
      </c>
      <c r="B142" s="5">
        <v>275</v>
      </c>
      <c r="C142" s="5"/>
      <c r="D142" s="5">
        <v>275</v>
      </c>
    </row>
    <row r="143" spans="1:4" x14ac:dyDescent="0.25">
      <c r="A143" s="7">
        <v>33.299999999999997</v>
      </c>
      <c r="B143" s="5"/>
      <c r="C143" s="5">
        <v>275</v>
      </c>
      <c r="D143" s="5">
        <v>275</v>
      </c>
    </row>
    <row r="144" spans="1:4" x14ac:dyDescent="0.25">
      <c r="A144" s="7">
        <v>33.5</v>
      </c>
      <c r="B144" s="5"/>
      <c r="C144" s="5">
        <v>332</v>
      </c>
      <c r="D144" s="5">
        <v>332</v>
      </c>
    </row>
    <row r="145" spans="1:4" x14ac:dyDescent="0.25">
      <c r="A145" s="7">
        <v>33.6</v>
      </c>
      <c r="B145" s="5"/>
      <c r="C145" s="5">
        <v>233</v>
      </c>
      <c r="D145" s="5">
        <v>233</v>
      </c>
    </row>
    <row r="146" spans="1:4" x14ac:dyDescent="0.25">
      <c r="A146" s="7">
        <v>33.799999999999997</v>
      </c>
      <c r="B146" s="5">
        <v>257</v>
      </c>
      <c r="C146" s="5"/>
      <c r="D146" s="5">
        <v>257</v>
      </c>
    </row>
    <row r="147" spans="1:4" x14ac:dyDescent="0.25">
      <c r="A147" s="7">
        <v>33.9</v>
      </c>
      <c r="B147" s="5"/>
      <c r="C147" s="5">
        <v>180</v>
      </c>
      <c r="D147" s="5">
        <v>180</v>
      </c>
    </row>
    <row r="148" spans="1:4" x14ac:dyDescent="0.25">
      <c r="A148" s="7">
        <v>34.299999999999997</v>
      </c>
      <c r="B148" s="5">
        <v>567</v>
      </c>
      <c r="C148" s="5"/>
      <c r="D148" s="5">
        <v>567</v>
      </c>
    </row>
    <row r="149" spans="1:4" x14ac:dyDescent="0.25">
      <c r="A149" s="7">
        <v>34.6</v>
      </c>
      <c r="B149" s="5">
        <v>279</v>
      </c>
      <c r="C149" s="5">
        <v>574</v>
      </c>
      <c r="D149" s="5">
        <v>853</v>
      </c>
    </row>
    <row r="150" spans="1:4" x14ac:dyDescent="0.25">
      <c r="A150" s="7">
        <v>35</v>
      </c>
      <c r="B150" s="5">
        <v>468</v>
      </c>
      <c r="C150" s="5"/>
      <c r="D150" s="5">
        <v>468</v>
      </c>
    </row>
    <row r="151" spans="1:4" x14ac:dyDescent="0.25">
      <c r="A151" s="7">
        <v>35.1</v>
      </c>
      <c r="B151" s="5"/>
      <c r="C151" s="5">
        <v>263</v>
      </c>
      <c r="D151" s="5">
        <v>263</v>
      </c>
    </row>
    <row r="152" spans="1:4" x14ac:dyDescent="0.25">
      <c r="A152" s="7">
        <v>35.299999999999997</v>
      </c>
      <c r="B152" s="5"/>
      <c r="C152" s="5">
        <v>274</v>
      </c>
      <c r="D152" s="5">
        <v>274</v>
      </c>
    </row>
    <row r="153" spans="1:4" x14ac:dyDescent="0.25">
      <c r="A153" s="7">
        <v>35.4</v>
      </c>
      <c r="B153" s="5">
        <v>275</v>
      </c>
      <c r="C153" s="5"/>
      <c r="D153" s="5">
        <v>275</v>
      </c>
    </row>
    <row r="154" spans="1:4" x14ac:dyDescent="0.25">
      <c r="A154" s="7">
        <v>35.5</v>
      </c>
      <c r="B154" s="5"/>
      <c r="C154" s="5">
        <v>243</v>
      </c>
      <c r="D154" s="5">
        <v>243</v>
      </c>
    </row>
    <row r="155" spans="1:4" x14ac:dyDescent="0.25">
      <c r="A155" s="7">
        <v>36.1</v>
      </c>
      <c r="B155" s="5">
        <v>270</v>
      </c>
      <c r="C155" s="5">
        <v>321</v>
      </c>
      <c r="D155" s="5">
        <v>591</v>
      </c>
    </row>
    <row r="156" spans="1:4" x14ac:dyDescent="0.25">
      <c r="A156" s="7">
        <v>36.6</v>
      </c>
      <c r="B156" s="5">
        <v>258</v>
      </c>
      <c r="C156" s="5"/>
      <c r="D156" s="5">
        <v>258</v>
      </c>
    </row>
    <row r="157" spans="1:4" x14ac:dyDescent="0.25">
      <c r="A157" s="7">
        <v>36.700000000000003</v>
      </c>
      <c r="B157" s="5"/>
      <c r="C157" s="5">
        <v>336</v>
      </c>
      <c r="D157" s="5">
        <v>336</v>
      </c>
    </row>
    <row r="158" spans="1:4" x14ac:dyDescent="0.25">
      <c r="A158" s="7">
        <v>37</v>
      </c>
      <c r="B158" s="5">
        <v>237</v>
      </c>
      <c r="C158" s="5"/>
      <c r="D158" s="5">
        <v>237</v>
      </c>
    </row>
    <row r="159" spans="1:4" x14ac:dyDescent="0.25">
      <c r="A159" s="7">
        <v>37.799999999999997</v>
      </c>
      <c r="B159" s="5"/>
      <c r="C159" s="5">
        <v>281</v>
      </c>
      <c r="D159" s="5">
        <v>281</v>
      </c>
    </row>
    <row r="160" spans="1:4" x14ac:dyDescent="0.25">
      <c r="A160" s="7">
        <v>38</v>
      </c>
      <c r="B160" s="5"/>
      <c r="C160" s="5">
        <v>341</v>
      </c>
      <c r="D160" s="5">
        <v>341</v>
      </c>
    </row>
    <row r="161" spans="1:4" x14ac:dyDescent="0.25">
      <c r="A161" s="7">
        <v>38.200000000000003</v>
      </c>
      <c r="B161" s="5"/>
      <c r="C161" s="5">
        <v>308</v>
      </c>
      <c r="D161" s="5">
        <v>308</v>
      </c>
    </row>
    <row r="162" spans="1:4" x14ac:dyDescent="0.25">
      <c r="A162" s="7">
        <v>38.299999999999997</v>
      </c>
      <c r="B162" s="5">
        <v>259</v>
      </c>
      <c r="C162" s="5"/>
      <c r="D162" s="5">
        <v>259</v>
      </c>
    </row>
    <row r="163" spans="1:4" x14ac:dyDescent="0.25">
      <c r="A163" s="7">
        <v>39.1</v>
      </c>
      <c r="B163" s="5"/>
      <c r="C163" s="5">
        <v>233</v>
      </c>
      <c r="D163" s="5">
        <v>233</v>
      </c>
    </row>
    <row r="164" spans="1:4" x14ac:dyDescent="0.25">
      <c r="A164" s="7">
        <v>41.3</v>
      </c>
      <c r="B164" s="5">
        <v>346</v>
      </c>
      <c r="C164" s="5"/>
      <c r="D164" s="5">
        <v>346</v>
      </c>
    </row>
    <row r="165" spans="1:4" x14ac:dyDescent="0.25">
      <c r="A165" s="7">
        <v>42.2</v>
      </c>
      <c r="B165" s="5"/>
      <c r="C165" s="5">
        <v>242</v>
      </c>
      <c r="D165" s="5">
        <v>242</v>
      </c>
    </row>
    <row r="166" spans="1:4" x14ac:dyDescent="0.25">
      <c r="A166" s="7" t="s">
        <v>18</v>
      </c>
      <c r="B166" s="5">
        <v>35020</v>
      </c>
      <c r="C166" s="5">
        <v>32223</v>
      </c>
      <c r="D166" s="5">
        <v>67243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5A691-157E-4B1C-A5AB-9604CBA060BF}">
  <dimension ref="A3:D63"/>
  <sheetViews>
    <sheetView tabSelected="1" workbookViewId="0">
      <selection activeCell="I8" sqref="I8"/>
    </sheetView>
  </sheetViews>
  <sheetFormatPr defaultRowHeight="15" x14ac:dyDescent="0.25"/>
  <cols>
    <col min="1" max="1" width="12.42578125" bestFit="1" customWidth="1"/>
    <col min="2" max="2" width="15.28515625" bestFit="1" customWidth="1"/>
    <col min="3" max="3" width="5.85546875" bestFit="1" customWidth="1"/>
    <col min="4" max="4" width="10.7109375" bestFit="1" customWidth="1"/>
    <col min="5" max="5" width="12.140625" bestFit="1" customWidth="1"/>
    <col min="6" max="6" width="15.42578125" bestFit="1" customWidth="1"/>
    <col min="7" max="7" width="17.140625" bestFit="1" customWidth="1"/>
  </cols>
  <sheetData>
    <row r="3" spans="1:4" x14ac:dyDescent="0.25">
      <c r="A3" s="6" t="s">
        <v>20</v>
      </c>
      <c r="B3" s="6" t="s">
        <v>19</v>
      </c>
    </row>
    <row r="4" spans="1:4" x14ac:dyDescent="0.25">
      <c r="A4" s="6" t="s">
        <v>17</v>
      </c>
      <c r="B4">
        <v>1</v>
      </c>
      <c r="C4">
        <v>2</v>
      </c>
      <c r="D4" t="s">
        <v>18</v>
      </c>
    </row>
    <row r="5" spans="1:4" x14ac:dyDescent="0.25">
      <c r="A5" s="7">
        <v>19</v>
      </c>
      <c r="B5" s="5">
        <v>477</v>
      </c>
      <c r="C5" s="5"/>
      <c r="D5" s="5">
        <v>477</v>
      </c>
    </row>
    <row r="6" spans="1:4" x14ac:dyDescent="0.25">
      <c r="A6" s="7">
        <v>20</v>
      </c>
      <c r="B6" s="5">
        <v>113</v>
      </c>
      <c r="C6" s="5">
        <v>148</v>
      </c>
      <c r="D6" s="5">
        <v>261</v>
      </c>
    </row>
    <row r="7" spans="1:4" x14ac:dyDescent="0.25">
      <c r="A7" s="7">
        <v>21</v>
      </c>
      <c r="B7" s="5">
        <v>205</v>
      </c>
      <c r="C7" s="5"/>
      <c r="D7" s="5">
        <v>205</v>
      </c>
    </row>
    <row r="8" spans="1:4" x14ac:dyDescent="0.25">
      <c r="A8" s="7">
        <v>22</v>
      </c>
      <c r="B8" s="5">
        <v>593</v>
      </c>
      <c r="C8" s="5"/>
      <c r="D8" s="5">
        <v>593</v>
      </c>
    </row>
    <row r="9" spans="1:4" x14ac:dyDescent="0.25">
      <c r="A9" s="7">
        <v>23</v>
      </c>
      <c r="B9" s="5">
        <v>484</v>
      </c>
      <c r="C9" s="5">
        <v>94</v>
      </c>
      <c r="D9" s="5">
        <v>578</v>
      </c>
    </row>
    <row r="10" spans="1:4" x14ac:dyDescent="0.25">
      <c r="A10" s="7">
        <v>24</v>
      </c>
      <c r="B10" s="5">
        <v>490</v>
      </c>
      <c r="C10" s="5"/>
      <c r="D10" s="5">
        <v>490</v>
      </c>
    </row>
    <row r="11" spans="1:4" x14ac:dyDescent="0.25">
      <c r="A11" s="7">
        <v>25</v>
      </c>
      <c r="B11" s="5">
        <v>314</v>
      </c>
      <c r="C11" s="5">
        <v>163</v>
      </c>
      <c r="D11" s="5">
        <v>477</v>
      </c>
    </row>
    <row r="12" spans="1:4" x14ac:dyDescent="0.25">
      <c r="A12" s="7">
        <v>26</v>
      </c>
      <c r="B12" s="5">
        <v>51</v>
      </c>
      <c r="C12" s="5">
        <v>137</v>
      </c>
      <c r="D12" s="5">
        <v>188</v>
      </c>
    </row>
    <row r="13" spans="1:4" x14ac:dyDescent="0.25">
      <c r="A13" s="7">
        <v>27</v>
      </c>
      <c r="B13" s="5">
        <v>384</v>
      </c>
      <c r="C13" s="5">
        <v>233</v>
      </c>
      <c r="D13" s="5">
        <v>617</v>
      </c>
    </row>
    <row r="14" spans="1:4" x14ac:dyDescent="0.25">
      <c r="A14" s="7">
        <v>28</v>
      </c>
      <c r="B14" s="5">
        <v>484</v>
      </c>
      <c r="C14" s="5">
        <v>345</v>
      </c>
      <c r="D14" s="5">
        <v>829</v>
      </c>
    </row>
    <row r="15" spans="1:4" x14ac:dyDescent="0.25">
      <c r="A15" s="7">
        <v>29</v>
      </c>
      <c r="B15" s="5">
        <v>733</v>
      </c>
      <c r="C15" s="5">
        <v>159</v>
      </c>
      <c r="D15" s="5">
        <v>892</v>
      </c>
    </row>
    <row r="16" spans="1:4" x14ac:dyDescent="0.25">
      <c r="A16" s="7">
        <v>30</v>
      </c>
      <c r="B16" s="5">
        <v>229</v>
      </c>
      <c r="C16" s="5">
        <v>202</v>
      </c>
      <c r="D16" s="5">
        <v>431</v>
      </c>
    </row>
    <row r="17" spans="1:4" x14ac:dyDescent="0.25">
      <c r="A17" s="7">
        <v>31</v>
      </c>
      <c r="B17" s="5">
        <v>398</v>
      </c>
      <c r="C17" s="5">
        <v>375</v>
      </c>
      <c r="D17" s="5">
        <v>773</v>
      </c>
    </row>
    <row r="18" spans="1:4" x14ac:dyDescent="0.25">
      <c r="A18" s="7">
        <v>32</v>
      </c>
      <c r="B18" s="5">
        <v>387</v>
      </c>
      <c r="C18" s="5">
        <v>637</v>
      </c>
      <c r="D18" s="5">
        <v>1024</v>
      </c>
    </row>
    <row r="19" spans="1:4" x14ac:dyDescent="0.25">
      <c r="A19" s="7">
        <v>33</v>
      </c>
      <c r="B19" s="5">
        <v>438</v>
      </c>
      <c r="C19" s="5">
        <v>249</v>
      </c>
      <c r="D19" s="5">
        <v>687</v>
      </c>
    </row>
    <row r="20" spans="1:4" x14ac:dyDescent="0.25">
      <c r="A20" s="7">
        <v>34</v>
      </c>
      <c r="B20" s="5">
        <v>925</v>
      </c>
      <c r="C20" s="5">
        <v>767</v>
      </c>
      <c r="D20" s="5">
        <v>1692</v>
      </c>
    </row>
    <row r="21" spans="1:4" x14ac:dyDescent="0.25">
      <c r="A21" s="7">
        <v>35</v>
      </c>
      <c r="B21" s="5">
        <v>892</v>
      </c>
      <c r="C21" s="5">
        <v>184</v>
      </c>
      <c r="D21" s="5">
        <v>1076</v>
      </c>
    </row>
    <row r="22" spans="1:4" x14ac:dyDescent="0.25">
      <c r="A22" s="7">
        <v>36</v>
      </c>
      <c r="B22" s="5">
        <v>682</v>
      </c>
      <c r="C22" s="5">
        <v>751</v>
      </c>
      <c r="D22" s="5">
        <v>1433</v>
      </c>
    </row>
    <row r="23" spans="1:4" x14ac:dyDescent="0.25">
      <c r="A23" s="7">
        <v>37</v>
      </c>
      <c r="B23" s="5">
        <v>1064</v>
      </c>
      <c r="C23" s="5">
        <v>487</v>
      </c>
      <c r="D23" s="5">
        <v>1551</v>
      </c>
    </row>
    <row r="24" spans="1:4" x14ac:dyDescent="0.25">
      <c r="A24" s="7">
        <v>38</v>
      </c>
      <c r="B24" s="5">
        <v>445</v>
      </c>
      <c r="C24" s="5">
        <v>327</v>
      </c>
      <c r="D24" s="5">
        <v>772</v>
      </c>
    </row>
    <row r="25" spans="1:4" x14ac:dyDescent="0.25">
      <c r="A25" s="7">
        <v>39</v>
      </c>
      <c r="B25" s="5">
        <v>192</v>
      </c>
      <c r="C25" s="5">
        <v>472</v>
      </c>
      <c r="D25" s="5">
        <v>664</v>
      </c>
    </row>
    <row r="26" spans="1:4" x14ac:dyDescent="0.25">
      <c r="A26" s="7">
        <v>40</v>
      </c>
      <c r="B26" s="5">
        <v>159</v>
      </c>
      <c r="C26" s="5">
        <v>577</v>
      </c>
      <c r="D26" s="5">
        <v>736</v>
      </c>
    </row>
    <row r="27" spans="1:4" x14ac:dyDescent="0.25">
      <c r="A27" s="7">
        <v>41</v>
      </c>
      <c r="B27" s="5">
        <v>1427</v>
      </c>
      <c r="C27" s="5">
        <v>668</v>
      </c>
      <c r="D27" s="5">
        <v>2095</v>
      </c>
    </row>
    <row r="28" spans="1:4" x14ac:dyDescent="0.25">
      <c r="A28" s="7">
        <v>42</v>
      </c>
      <c r="B28" s="5">
        <v>874</v>
      </c>
      <c r="C28" s="5">
        <v>524</v>
      </c>
      <c r="D28" s="5">
        <v>1398</v>
      </c>
    </row>
    <row r="29" spans="1:4" x14ac:dyDescent="0.25">
      <c r="A29" s="7">
        <v>43</v>
      </c>
      <c r="B29" s="5">
        <v>948</v>
      </c>
      <c r="C29" s="5"/>
      <c r="D29" s="5">
        <v>948</v>
      </c>
    </row>
    <row r="30" spans="1:4" x14ac:dyDescent="0.25">
      <c r="A30" s="7">
        <v>44</v>
      </c>
      <c r="B30" s="5">
        <v>767</v>
      </c>
      <c r="C30" s="5">
        <v>431</v>
      </c>
      <c r="D30" s="5">
        <v>1198</v>
      </c>
    </row>
    <row r="31" spans="1:4" x14ac:dyDescent="0.25">
      <c r="A31" s="7">
        <v>45</v>
      </c>
      <c r="B31" s="5">
        <v>375</v>
      </c>
      <c r="C31" s="5">
        <v>135</v>
      </c>
      <c r="D31" s="5">
        <v>510</v>
      </c>
    </row>
    <row r="32" spans="1:4" x14ac:dyDescent="0.25">
      <c r="A32" s="7">
        <v>46</v>
      </c>
      <c r="B32" s="5">
        <v>783</v>
      </c>
      <c r="C32" s="5">
        <v>909</v>
      </c>
      <c r="D32" s="5">
        <v>1692</v>
      </c>
    </row>
    <row r="33" spans="1:4" x14ac:dyDescent="0.25">
      <c r="A33" s="7">
        <v>47</v>
      </c>
      <c r="B33" s="5">
        <v>1037</v>
      </c>
      <c r="C33" s="5">
        <v>642</v>
      </c>
      <c r="D33" s="5">
        <v>1679</v>
      </c>
    </row>
    <row r="34" spans="1:4" x14ac:dyDescent="0.25">
      <c r="A34" s="7">
        <v>48</v>
      </c>
      <c r="B34" s="5">
        <v>1060</v>
      </c>
      <c r="C34" s="5">
        <v>713</v>
      </c>
      <c r="D34" s="5">
        <v>1773</v>
      </c>
    </row>
    <row r="35" spans="1:4" x14ac:dyDescent="0.25">
      <c r="A35" s="7">
        <v>49</v>
      </c>
      <c r="B35" s="5">
        <v>500</v>
      </c>
      <c r="C35" s="5">
        <v>1017</v>
      </c>
      <c r="D35" s="5">
        <v>1517</v>
      </c>
    </row>
    <row r="36" spans="1:4" x14ac:dyDescent="0.25">
      <c r="A36" s="7">
        <v>50</v>
      </c>
      <c r="B36" s="5">
        <v>1131</v>
      </c>
      <c r="C36" s="5">
        <v>798</v>
      </c>
      <c r="D36" s="5">
        <v>1929</v>
      </c>
    </row>
    <row r="37" spans="1:4" x14ac:dyDescent="0.25">
      <c r="A37" s="7">
        <v>51</v>
      </c>
      <c r="B37" s="5">
        <v>1632</v>
      </c>
      <c r="C37" s="5">
        <v>1037</v>
      </c>
      <c r="D37" s="5">
        <v>2669</v>
      </c>
    </row>
    <row r="38" spans="1:4" x14ac:dyDescent="0.25">
      <c r="A38" s="7">
        <v>52</v>
      </c>
      <c r="B38" s="5">
        <v>1551</v>
      </c>
      <c r="C38" s="5">
        <v>831</v>
      </c>
      <c r="D38" s="5">
        <v>2382</v>
      </c>
    </row>
    <row r="39" spans="1:4" x14ac:dyDescent="0.25">
      <c r="A39" s="7">
        <v>53</v>
      </c>
      <c r="B39" s="5">
        <v>1831</v>
      </c>
      <c r="C39" s="5">
        <v>1003</v>
      </c>
      <c r="D39" s="5">
        <v>2834</v>
      </c>
    </row>
    <row r="40" spans="1:4" x14ac:dyDescent="0.25">
      <c r="A40" s="7">
        <v>54</v>
      </c>
      <c r="B40" s="5">
        <v>667</v>
      </c>
      <c r="C40" s="5">
        <v>1176</v>
      </c>
      <c r="D40" s="5">
        <v>1843</v>
      </c>
    </row>
    <row r="41" spans="1:4" x14ac:dyDescent="0.25">
      <c r="A41" s="7">
        <v>55</v>
      </c>
      <c r="B41" s="5">
        <v>1235</v>
      </c>
      <c r="C41" s="5">
        <v>823</v>
      </c>
      <c r="D41" s="5">
        <v>2058</v>
      </c>
    </row>
    <row r="42" spans="1:4" x14ac:dyDescent="0.25">
      <c r="A42" s="7">
        <v>56</v>
      </c>
      <c r="B42" s="5">
        <v>446</v>
      </c>
      <c r="C42" s="5">
        <v>671</v>
      </c>
      <c r="D42" s="5">
        <v>1117</v>
      </c>
    </row>
    <row r="43" spans="1:4" x14ac:dyDescent="0.25">
      <c r="A43" s="7">
        <v>57</v>
      </c>
      <c r="B43" s="5">
        <v>974</v>
      </c>
      <c r="C43" s="5">
        <v>1252</v>
      </c>
      <c r="D43" s="5">
        <v>2226</v>
      </c>
    </row>
    <row r="44" spans="1:4" x14ac:dyDescent="0.25">
      <c r="A44" s="7">
        <v>58</v>
      </c>
      <c r="B44" s="5">
        <v>634</v>
      </c>
      <c r="C44" s="5">
        <v>1257</v>
      </c>
      <c r="D44" s="5">
        <v>1891</v>
      </c>
    </row>
    <row r="45" spans="1:4" x14ac:dyDescent="0.25">
      <c r="A45" s="7">
        <v>59</v>
      </c>
      <c r="B45" s="5"/>
      <c r="C45" s="5">
        <v>1490</v>
      </c>
      <c r="D45" s="5">
        <v>1490</v>
      </c>
    </row>
    <row r="46" spans="1:4" x14ac:dyDescent="0.25">
      <c r="A46" s="7">
        <v>60</v>
      </c>
      <c r="B46" s="5">
        <v>640</v>
      </c>
      <c r="C46" s="5">
        <v>1749</v>
      </c>
      <c r="D46" s="5">
        <v>2389</v>
      </c>
    </row>
    <row r="47" spans="1:4" x14ac:dyDescent="0.25">
      <c r="A47" s="7">
        <v>61</v>
      </c>
      <c r="B47" s="5">
        <v>1236</v>
      </c>
      <c r="C47" s="5">
        <v>1412</v>
      </c>
      <c r="D47" s="5">
        <v>2648</v>
      </c>
    </row>
    <row r="48" spans="1:4" x14ac:dyDescent="0.25">
      <c r="A48" s="7">
        <v>62</v>
      </c>
      <c r="B48" s="5">
        <v>524</v>
      </c>
      <c r="C48" s="5">
        <v>1552</v>
      </c>
      <c r="D48" s="5">
        <v>2076</v>
      </c>
    </row>
    <row r="49" spans="1:4" x14ac:dyDescent="0.25">
      <c r="A49" s="7">
        <v>63</v>
      </c>
      <c r="B49" s="5">
        <v>329</v>
      </c>
      <c r="C49" s="5">
        <v>307</v>
      </c>
      <c r="D49" s="5">
        <v>636</v>
      </c>
    </row>
    <row r="50" spans="1:4" x14ac:dyDescent="0.25">
      <c r="A50" s="7">
        <v>64</v>
      </c>
      <c r="B50" s="5">
        <v>230</v>
      </c>
      <c r="C50" s="5">
        <v>419</v>
      </c>
      <c r="D50" s="5">
        <v>649</v>
      </c>
    </row>
    <row r="51" spans="1:4" x14ac:dyDescent="0.25">
      <c r="A51" s="7">
        <v>65</v>
      </c>
      <c r="B51" s="5">
        <v>396</v>
      </c>
      <c r="C51" s="5">
        <v>1150</v>
      </c>
      <c r="D51" s="5">
        <v>1546</v>
      </c>
    </row>
    <row r="52" spans="1:4" x14ac:dyDescent="0.25">
      <c r="A52" s="7">
        <v>66</v>
      </c>
      <c r="B52" s="5">
        <v>362</v>
      </c>
      <c r="C52" s="5">
        <v>699</v>
      </c>
      <c r="D52" s="5">
        <v>1061</v>
      </c>
    </row>
    <row r="53" spans="1:4" x14ac:dyDescent="0.25">
      <c r="A53" s="7">
        <v>67</v>
      </c>
      <c r="B53" s="5">
        <v>682</v>
      </c>
      <c r="C53" s="5">
        <v>1132</v>
      </c>
      <c r="D53" s="5">
        <v>1814</v>
      </c>
    </row>
    <row r="54" spans="1:4" x14ac:dyDescent="0.25">
      <c r="A54" s="7">
        <v>68</v>
      </c>
      <c r="B54" s="5">
        <v>593</v>
      </c>
      <c r="C54" s="5">
        <v>538</v>
      </c>
      <c r="D54" s="5">
        <v>1131</v>
      </c>
    </row>
    <row r="55" spans="1:4" x14ac:dyDescent="0.25">
      <c r="A55" s="7">
        <v>69</v>
      </c>
      <c r="B55" s="5">
        <v>1278</v>
      </c>
      <c r="C55" s="5">
        <v>241</v>
      </c>
      <c r="D55" s="5">
        <v>1519</v>
      </c>
    </row>
    <row r="56" spans="1:4" x14ac:dyDescent="0.25">
      <c r="A56" s="7">
        <v>70</v>
      </c>
      <c r="B56" s="5"/>
      <c r="C56" s="5">
        <v>89</v>
      </c>
      <c r="D56" s="5">
        <v>89</v>
      </c>
    </row>
    <row r="57" spans="1:4" x14ac:dyDescent="0.25">
      <c r="A57" s="7">
        <v>71</v>
      </c>
      <c r="B57" s="5">
        <v>150</v>
      </c>
      <c r="C57" s="5">
        <v>665</v>
      </c>
      <c r="D57" s="5">
        <v>815</v>
      </c>
    </row>
    <row r="58" spans="1:4" x14ac:dyDescent="0.25">
      <c r="A58" s="7">
        <v>72</v>
      </c>
      <c r="B58" s="5"/>
      <c r="C58" s="5">
        <v>141</v>
      </c>
      <c r="D58" s="5">
        <v>141</v>
      </c>
    </row>
    <row r="59" spans="1:4" x14ac:dyDescent="0.25">
      <c r="A59" s="7">
        <v>73</v>
      </c>
      <c r="B59" s="5">
        <v>109</v>
      </c>
      <c r="C59" s="5"/>
      <c r="D59" s="5">
        <v>109</v>
      </c>
    </row>
    <row r="60" spans="1:4" x14ac:dyDescent="0.25">
      <c r="A60" s="7">
        <v>74</v>
      </c>
      <c r="B60" s="5">
        <v>70</v>
      </c>
      <c r="C60" s="5"/>
      <c r="D60" s="5">
        <v>70</v>
      </c>
    </row>
    <row r="61" spans="1:4" x14ac:dyDescent="0.25">
      <c r="A61" s="7">
        <v>75</v>
      </c>
      <c r="B61" s="5">
        <v>410</v>
      </c>
      <c r="C61" s="5"/>
      <c r="D61" s="5">
        <v>410</v>
      </c>
    </row>
    <row r="62" spans="1:4" x14ac:dyDescent="0.25">
      <c r="A62" s="7">
        <v>79</v>
      </c>
      <c r="B62" s="5"/>
      <c r="C62" s="5">
        <v>445</v>
      </c>
      <c r="D62" s="5">
        <v>445</v>
      </c>
    </row>
    <row r="63" spans="1:4" x14ac:dyDescent="0.25">
      <c r="A63" s="7" t="s">
        <v>18</v>
      </c>
      <c r="B63" s="5">
        <v>35020</v>
      </c>
      <c r="C63" s="5">
        <v>32223</v>
      </c>
      <c r="D63" s="5">
        <v>67243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D748AEA3518444BF606C1E44F593B6" ma:contentTypeVersion="12" ma:contentTypeDescription="Create a new document." ma:contentTypeScope="" ma:versionID="f9ce4e791d68b709c60f6b2e6b335324">
  <xsd:schema xmlns:xsd="http://www.w3.org/2001/XMLSchema" xmlns:xs="http://www.w3.org/2001/XMLSchema" xmlns:p="http://schemas.microsoft.com/office/2006/metadata/properties" xmlns:ns3="07a3e7a7-5ec4-4d1e-a47e-6acc113c650f" xmlns:ns4="e11633a6-6326-48c6-a516-e711c944e6ff" targetNamespace="http://schemas.microsoft.com/office/2006/metadata/properties" ma:root="true" ma:fieldsID="f3bdd7ca1bad2d33e2ab86672b6ae894" ns3:_="" ns4:_="">
    <xsd:import namespace="07a3e7a7-5ec4-4d1e-a47e-6acc113c650f"/>
    <xsd:import namespace="e11633a6-6326-48c6-a516-e711c944e6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a3e7a7-5ec4-4d1e-a47e-6acc113c650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633a6-6326-48c6-a516-e711c944e6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19B17F-F53D-4F7E-8C39-C88A91CD69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AA38E25-64F1-466B-83C5-32284EF80D0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e11633a6-6326-48c6-a516-e711c944e6ff"/>
    <ds:schemaRef ds:uri="http://schemas.microsoft.com/office/2006/documentManagement/types"/>
    <ds:schemaRef ds:uri="http://schemas.microsoft.com/office/infopath/2007/PartnerControls"/>
    <ds:schemaRef ds:uri="07a3e7a7-5ec4-4d1e-a47e-6acc113c650f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CD76A89-3758-40DB-83B9-1806AA03CC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a3e7a7-5ec4-4d1e-a47e-6acc113c650f"/>
    <ds:schemaRef ds:uri="e11633a6-6326-48c6-a516-e711c944e6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</vt:vector>
  </HeadingPairs>
  <TitlesOfParts>
    <vt:vector size="8" baseType="lpstr">
      <vt:lpstr>RawData</vt:lpstr>
      <vt:lpstr>PT-Sex</vt:lpstr>
      <vt:lpstr>PT-Sex-BMI</vt:lpstr>
      <vt:lpstr>PT-Sex-Age</vt:lpstr>
      <vt:lpstr>Age-BMI-BP</vt:lpstr>
      <vt:lpstr>Age</vt:lpstr>
      <vt:lpstr>BMI</vt:lpstr>
      <vt:lpstr>S3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Maryam Einian</cp:lastModifiedBy>
  <dcterms:created xsi:type="dcterms:W3CDTF">2019-11-05T22:55:26Z</dcterms:created>
  <dcterms:modified xsi:type="dcterms:W3CDTF">2020-02-20T15:57:22Z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0x010100BDD748AEA3518444BF606C1E44F593B6</vt:lpwstr>
  </property>
</Properties>
</file>